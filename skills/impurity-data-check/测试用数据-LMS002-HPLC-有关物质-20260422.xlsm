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9.wmf" ContentType="image/x-wmf"/>
  <Override PartName="/xl/media/image14.wmf" ContentType="image/x-wmf"/>
  <Override PartName="/xl/media/image10.wmf" ContentType="image/x-wmf"/>
  <Override PartName="/xl/media/image11.wmf" ContentType="image/x-wmf"/>
  <Override PartName="/xl/media/image12.wmf" ContentType="image/x-wmf"/>
  <Override PartName="/xl/media/image13.wmf" ContentType="image/x-wmf"/>
  <Override PartName="/xl/media/image15.wmf" ContentType="image/x-wmf"/>
  <Override PartName="/xl/media/image16.wmf" ContentType="image/x-wmf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" sheetId="1" state="visible" r:id="rId2"/>
    <sheet name="序列表" sheetId="2" state="visible" r:id="rId3"/>
  </sheets>
  <definedNames>
    <definedName function="false" hidden="false" localSheetId="0" name="_xlnm.Print_Area" vbProcedure="false">sheet!$A$1:$I$27,sheet!$A$31:$N$69,sheet!$A$72:$N$110,sheet!$A$113:$N$151,sheet!$A$154:$N$192,sheet!$A$195:$N$233,sheet!$A$236:$N$274,sheet!$A$277:$N$315,sheet!$A$318:$N$356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<sst xmlns="http://schemas.openxmlformats.org/spreadsheetml/2006/main" count="889" uniqueCount="163">
  <si>
    <t xml:space="preserve">黄体酮预灌封有关物质检测结果</t>
  </si>
  <si>
    <t xml:space="preserve">实验日期</t>
  </si>
  <si>
    <t xml:space="preserve">2026.04.22</t>
  </si>
  <si>
    <t xml:space="preserve">实验员</t>
  </si>
  <si>
    <t xml:space="preserve">伍珊娜</t>
  </si>
  <si>
    <t xml:space="preserve">检测项目</t>
  </si>
  <si>
    <t xml:space="preserve">有关物质</t>
  </si>
  <si>
    <t xml:space="preserve">批号</t>
  </si>
  <si>
    <r>
      <rPr>
        <sz val="11"/>
        <rFont val="Times New Roman"/>
        <family val="0"/>
        <charset val="1"/>
      </rPr>
      <t xml:space="preserve">LMS002-260401-05~LMS002-260401-07</t>
    </r>
    <r>
      <rPr>
        <sz val="11"/>
        <rFont val="宋体"/>
        <family val="0"/>
        <charset val="1"/>
      </rPr>
      <t xml:space="preserve">、</t>
    </r>
    <r>
      <rPr>
        <sz val="11"/>
        <rFont val="Times New Roman"/>
        <family val="0"/>
        <charset val="1"/>
      </rPr>
      <t xml:space="preserve">LMS002-260401-09~LMS002-260401-14</t>
    </r>
  </si>
  <si>
    <t xml:space="preserve">方法</t>
  </si>
  <si>
    <t xml:space="preserve">仪器</t>
  </si>
  <si>
    <r>
      <rPr>
        <sz val="11"/>
        <rFont val="Times New Roman"/>
        <family val="0"/>
        <charset val="1"/>
      </rPr>
      <t xml:space="preserve">Thermo U3000+VWD</t>
    </r>
    <r>
      <rPr>
        <sz val="11"/>
        <rFont val="宋体"/>
        <family val="0"/>
        <charset val="1"/>
      </rPr>
      <t xml:space="preserve">（编号：</t>
    </r>
    <r>
      <rPr>
        <sz val="11"/>
        <rFont val="Times New Roman"/>
        <family val="0"/>
        <charset val="1"/>
      </rPr>
      <t xml:space="preserve">RDC-01-218)</t>
    </r>
  </si>
  <si>
    <t xml:space="preserve">泵模块</t>
  </si>
  <si>
    <r>
      <rPr>
        <sz val="11"/>
        <rFont val="宋体"/>
        <family val="0"/>
        <charset val="1"/>
      </rPr>
      <t xml:space="preserve">流动相</t>
    </r>
    <r>
      <rPr>
        <sz val="11"/>
        <rFont val="Times New Roman"/>
        <family val="0"/>
        <charset val="1"/>
      </rPr>
      <t xml:space="preserve">A</t>
    </r>
    <r>
      <rPr>
        <sz val="11"/>
        <rFont val="宋体"/>
        <family val="0"/>
        <charset val="1"/>
      </rPr>
      <t xml:space="preserve">：乙腈：水（</t>
    </r>
    <r>
      <rPr>
        <sz val="11"/>
        <rFont val="Times New Roman"/>
        <family val="0"/>
        <charset val="1"/>
      </rPr>
      <t xml:space="preserve">50</t>
    </r>
    <r>
      <rPr>
        <sz val="11"/>
        <rFont val="宋体"/>
        <family val="0"/>
        <charset val="1"/>
      </rPr>
      <t xml:space="preserve">：</t>
    </r>
    <r>
      <rPr>
        <sz val="11"/>
        <rFont val="Times New Roman"/>
        <family val="0"/>
        <charset val="1"/>
      </rPr>
      <t xml:space="preserve">50</t>
    </r>
    <r>
      <rPr>
        <sz val="11"/>
        <rFont val="宋体"/>
        <family val="0"/>
        <charset val="1"/>
      </rPr>
      <t xml:space="preserve">）；流动相</t>
    </r>
    <r>
      <rPr>
        <sz val="11"/>
        <rFont val="Times New Roman"/>
        <family val="0"/>
        <charset val="1"/>
      </rPr>
      <t xml:space="preserve">B</t>
    </r>
    <r>
      <rPr>
        <sz val="11"/>
        <rFont val="宋体"/>
        <family val="0"/>
        <charset val="1"/>
      </rPr>
      <t xml:space="preserve">：乙腈：水（</t>
    </r>
    <r>
      <rPr>
        <sz val="11"/>
        <rFont val="Times New Roman"/>
        <family val="0"/>
        <charset val="1"/>
      </rPr>
      <t xml:space="preserve">80</t>
    </r>
    <r>
      <rPr>
        <sz val="11"/>
        <rFont val="宋体"/>
        <family val="0"/>
        <charset val="1"/>
      </rPr>
      <t xml:space="preserve">：</t>
    </r>
    <r>
      <rPr>
        <sz val="11"/>
        <rFont val="Times New Roman"/>
        <family val="0"/>
        <charset val="1"/>
      </rPr>
      <t xml:space="preserve">20</t>
    </r>
    <r>
      <rPr>
        <sz val="11"/>
        <rFont val="宋体"/>
        <family val="0"/>
        <charset val="1"/>
      </rPr>
      <t xml:space="preserve">）</t>
    </r>
  </si>
  <si>
    <t xml:space="preserve">进样器模块</t>
  </si>
  <si>
    <r>
      <rPr>
        <sz val="11"/>
        <rFont val="宋体"/>
        <family val="0"/>
        <charset val="1"/>
      </rPr>
      <t xml:space="preserve">进样量：</t>
    </r>
    <r>
      <rPr>
        <sz val="11"/>
        <rFont val="Times New Roman"/>
        <family val="0"/>
        <charset val="1"/>
      </rPr>
      <t xml:space="preserve">10μl</t>
    </r>
    <r>
      <rPr>
        <sz val="11"/>
        <rFont val="宋体"/>
        <family val="0"/>
        <charset val="1"/>
      </rPr>
      <t xml:space="preserve">；温度：</t>
    </r>
    <r>
      <rPr>
        <sz val="11"/>
        <rFont val="Times New Roman"/>
        <family val="0"/>
        <charset val="1"/>
      </rPr>
      <t xml:space="preserve">6℃</t>
    </r>
  </si>
  <si>
    <t xml:space="preserve">柱温箱模块</t>
  </si>
  <si>
    <r>
      <rPr>
        <sz val="11"/>
        <rFont val="宋体"/>
        <family val="0"/>
        <charset val="1"/>
      </rPr>
      <t xml:space="preserve">柱温：</t>
    </r>
    <r>
      <rPr>
        <sz val="11"/>
        <rFont val="Times New Roman"/>
        <family val="0"/>
        <charset val="1"/>
      </rPr>
      <t xml:space="preserve">30℃</t>
    </r>
    <r>
      <rPr>
        <sz val="11"/>
        <rFont val="宋体"/>
        <family val="0"/>
        <charset val="1"/>
      </rPr>
      <t xml:space="preserve">；色谱柱：</t>
    </r>
    <r>
      <rPr>
        <sz val="11"/>
        <rFont val="Times New Roman"/>
        <family val="0"/>
        <charset val="1"/>
      </rPr>
      <t xml:space="preserve">Agilent ZORBAX Eclipse XDB-C18,4.6×150mm,5um</t>
    </r>
    <r>
      <rPr>
        <sz val="11"/>
        <rFont val="宋体"/>
        <family val="0"/>
        <charset val="1"/>
      </rPr>
      <t xml:space="preserve">（编号：</t>
    </r>
    <r>
      <rPr>
        <sz val="11"/>
        <rFont val="Times New Roman"/>
        <family val="0"/>
        <charset val="1"/>
      </rPr>
      <t xml:space="preserve">A-C-D-C-186A</t>
    </r>
    <r>
      <rPr>
        <sz val="11"/>
        <rFont val="宋体"/>
        <family val="0"/>
        <charset val="1"/>
      </rPr>
      <t xml:space="preserve">）</t>
    </r>
  </si>
  <si>
    <t xml:space="preserve">检测器模块</t>
  </si>
  <si>
    <r>
      <rPr>
        <sz val="11"/>
        <rFont val="宋体"/>
        <family val="0"/>
        <charset val="1"/>
      </rPr>
      <t xml:space="preserve">波长：</t>
    </r>
    <r>
      <rPr>
        <sz val="11"/>
        <rFont val="Times New Roman"/>
        <family val="0"/>
        <charset val="1"/>
      </rPr>
      <t xml:space="preserve">241nm</t>
    </r>
  </si>
  <si>
    <t xml:space="preserve">数据存储路径</t>
  </si>
  <si>
    <r>
      <rPr>
        <sz val="11"/>
        <rFont val="Times New Roman"/>
        <family val="0"/>
        <charset val="1"/>
      </rPr>
      <t xml:space="preserve">chrom://rcmsrv01/CM7DV01/Research_DATA/</t>
    </r>
    <r>
      <rPr>
        <sz val="11"/>
        <rFont val="宋体"/>
        <family val="0"/>
        <charset val="1"/>
      </rPr>
      <t xml:space="preserve">科研项目</t>
    </r>
    <r>
      <rPr>
        <sz val="11"/>
        <rFont val="Times New Roman"/>
        <family val="0"/>
        <charset val="1"/>
      </rPr>
      <t xml:space="preserve">/LMS002/</t>
    </r>
    <r>
      <rPr>
        <sz val="11"/>
        <rFont val="宋体"/>
        <family val="0"/>
        <charset val="1"/>
      </rPr>
      <t xml:space="preserve">液相数据</t>
    </r>
    <r>
      <rPr>
        <sz val="11"/>
        <rFont val="Times New Roman"/>
        <family val="0"/>
        <charset val="1"/>
      </rPr>
      <t xml:space="preserve">/</t>
    </r>
    <r>
      <rPr>
        <sz val="11"/>
        <rFont val="宋体"/>
        <family val="0"/>
        <charset val="1"/>
      </rPr>
      <t xml:space="preserve">成品</t>
    </r>
    <r>
      <rPr>
        <sz val="11"/>
        <rFont val="Times New Roman"/>
        <family val="0"/>
        <charset val="1"/>
      </rPr>
      <t xml:space="preserve">/</t>
    </r>
    <r>
      <rPr>
        <sz val="11"/>
        <rFont val="宋体"/>
        <family val="0"/>
        <charset val="1"/>
      </rPr>
      <t xml:space="preserve">检查（有关物质）</t>
    </r>
    <r>
      <rPr>
        <sz val="11"/>
        <rFont val="Times New Roman"/>
        <family val="0"/>
        <charset val="1"/>
      </rPr>
      <t xml:space="preserve">/</t>
    </r>
    <r>
      <rPr>
        <sz val="11"/>
        <rFont val="宋体"/>
        <family val="0"/>
        <charset val="1"/>
      </rPr>
      <t xml:space="preserve">序列</t>
    </r>
    <r>
      <rPr>
        <sz val="11"/>
        <rFont val="Times New Roman"/>
        <family val="0"/>
        <charset val="1"/>
      </rPr>
      <t xml:space="preserve">/2026</t>
    </r>
    <r>
      <rPr>
        <sz val="11"/>
        <rFont val="宋体"/>
        <family val="0"/>
        <charset val="1"/>
      </rPr>
      <t xml:space="preserve">年</t>
    </r>
    <r>
      <rPr>
        <sz val="11"/>
        <rFont val="Times New Roman"/>
        <family val="0"/>
        <charset val="1"/>
      </rPr>
      <t xml:space="preserve">04</t>
    </r>
    <r>
      <rPr>
        <sz val="11"/>
        <rFont val="宋体"/>
        <family val="0"/>
        <charset val="1"/>
      </rPr>
      <t xml:space="preserve">月数据</t>
    </r>
    <r>
      <rPr>
        <sz val="11"/>
        <rFont val="Times New Roman"/>
        <family val="0"/>
        <charset val="1"/>
      </rPr>
      <t xml:space="preserve">/20260422-01.seq
</t>
    </r>
  </si>
  <si>
    <t xml:space="preserve">对照品溶液配制</t>
  </si>
  <si>
    <t xml:space="preserve">名称</t>
  </si>
  <si>
    <t xml:space="preserve">来源</t>
  </si>
  <si>
    <r>
      <rPr>
        <b val="true"/>
        <sz val="11"/>
        <color rgb="FF000000"/>
        <rFont val="Times New Roman"/>
        <family val="0"/>
        <charset val="1"/>
      </rPr>
      <t xml:space="preserve">W</t>
    </r>
    <r>
      <rPr>
        <b val="true"/>
        <vertAlign val="subscript"/>
        <sz val="11"/>
        <color rgb="FF000000"/>
        <rFont val="宋体"/>
        <family val="0"/>
        <charset val="1"/>
      </rPr>
      <t xml:space="preserve">对照</t>
    </r>
  </si>
  <si>
    <t xml:space="preserve">P</t>
  </si>
  <si>
    <r>
      <rPr>
        <b val="true"/>
        <sz val="11"/>
        <color rgb="FF000000"/>
        <rFont val="Times New Roman"/>
        <family val="0"/>
        <charset val="1"/>
      </rPr>
      <t xml:space="preserve">D</t>
    </r>
    <r>
      <rPr>
        <b val="true"/>
        <vertAlign val="subscript"/>
        <sz val="11"/>
        <color rgb="FF000000"/>
        <rFont val="宋体"/>
        <family val="0"/>
        <charset val="1"/>
      </rPr>
      <t xml:space="preserve">对照</t>
    </r>
  </si>
  <si>
    <t xml:space="preserve">水分</t>
  </si>
  <si>
    <t xml:space="preserve">备注</t>
  </si>
  <si>
    <t xml:space="preserve">黄体酮对照品</t>
  </si>
  <si>
    <t xml:space="preserve">中检院</t>
  </si>
  <si>
    <t xml:space="preserve">100027-202111</t>
  </si>
  <si>
    <t xml:space="preserve">——</t>
  </si>
  <si>
    <r>
      <rPr>
        <sz val="11"/>
        <color rgb="FF000000"/>
        <rFont val="宋体"/>
        <family val="0"/>
        <charset val="1"/>
      </rPr>
      <t xml:space="preserve">黄体酮对照品溶液</t>
    </r>
    <r>
      <rPr>
        <sz val="11"/>
        <color rgb="FF000000"/>
        <rFont val="Times New Roman"/>
        <family val="0"/>
        <charset val="1"/>
      </rPr>
      <t xml:space="preserve">1</t>
    </r>
  </si>
  <si>
    <r>
      <rPr>
        <sz val="11"/>
        <color rgb="FF000000"/>
        <rFont val="宋体"/>
        <family val="0"/>
        <charset val="1"/>
      </rPr>
      <t xml:space="preserve">黄体酮对照品溶液</t>
    </r>
    <r>
      <rPr>
        <sz val="11"/>
        <color rgb="FF000000"/>
        <rFont val="Times New Roman"/>
        <family val="0"/>
        <charset val="1"/>
      </rPr>
      <t xml:space="preserve">2</t>
    </r>
  </si>
  <si>
    <t xml:space="preserve">黄体酮系统适应性对照品</t>
  </si>
  <si>
    <t xml:space="preserve">EDQM</t>
  </si>
  <si>
    <t xml:space="preserve">Y0001665 3.0</t>
  </si>
  <si>
    <t xml:space="preserve">系统适应性溶液</t>
  </si>
  <si>
    <r>
      <rPr>
        <b val="true"/>
        <sz val="11"/>
        <color rgb="FF000000"/>
        <rFont val="宋体"/>
        <family val="0"/>
        <charset val="1"/>
      </rPr>
      <t xml:space="preserve">系统适应性结果</t>
    </r>
    <r>
      <rPr>
        <b val="true"/>
        <sz val="11"/>
        <color rgb="FF000000"/>
        <rFont val="Times New Roman"/>
        <family val="0"/>
        <charset val="1"/>
      </rPr>
      <t xml:space="preserve">-</t>
    </r>
    <r>
      <rPr>
        <b val="true"/>
        <sz val="11"/>
        <color rgb="FF000000"/>
        <rFont val="宋体"/>
        <family val="0"/>
        <charset val="1"/>
      </rPr>
      <t xml:space="preserve">（对照品溶液</t>
    </r>
    <r>
      <rPr>
        <b val="true"/>
        <sz val="11"/>
        <color rgb="FF000000"/>
        <rFont val="Times New Roman"/>
        <family val="0"/>
        <charset val="1"/>
      </rPr>
      <t xml:space="preserve">1</t>
    </r>
    <r>
      <rPr>
        <b val="true"/>
        <sz val="11"/>
        <color rgb="FF000000"/>
        <rFont val="宋体"/>
        <family val="0"/>
        <charset val="1"/>
      </rPr>
      <t xml:space="preserve">）</t>
    </r>
  </si>
  <si>
    <t xml:space="preserve">序号</t>
  </si>
  <si>
    <t xml:space="preserve">RSD%</t>
  </si>
  <si>
    <r>
      <rPr>
        <b val="true"/>
        <sz val="11"/>
        <color rgb="FF000000"/>
        <rFont val="宋体"/>
        <family val="0"/>
        <charset val="1"/>
      </rPr>
      <t xml:space="preserve">峰面积（</t>
    </r>
    <r>
      <rPr>
        <b val="true"/>
        <sz val="11"/>
        <color rgb="FF000000"/>
        <rFont val="Times New Roman"/>
        <family val="0"/>
        <charset val="1"/>
      </rPr>
      <t xml:space="preserve">mAU*min</t>
    </r>
    <r>
      <rPr>
        <b val="true"/>
        <sz val="11"/>
        <color rgb="FF000000"/>
        <rFont val="宋体"/>
        <family val="0"/>
        <charset val="1"/>
      </rPr>
      <t xml:space="preserve">）</t>
    </r>
  </si>
  <si>
    <r>
      <rPr>
        <b val="true"/>
        <sz val="11"/>
        <color rgb="FF000000"/>
        <rFont val="宋体"/>
        <family val="0"/>
        <charset val="1"/>
      </rPr>
      <t xml:space="preserve">质控</t>
    </r>
    <r>
      <rPr>
        <b val="true"/>
        <sz val="11"/>
        <color rgb="FF000000"/>
        <rFont val="Times New Roman"/>
        <family val="0"/>
        <charset val="1"/>
      </rPr>
      <t xml:space="preserve">-</t>
    </r>
    <r>
      <rPr>
        <b val="true"/>
        <sz val="11"/>
        <color rgb="FF000000"/>
        <rFont val="宋体"/>
        <family val="0"/>
        <charset val="1"/>
      </rPr>
      <t xml:space="preserve">（对照品溶液</t>
    </r>
    <r>
      <rPr>
        <b val="true"/>
        <sz val="11"/>
        <color rgb="FF000000"/>
        <rFont val="Times New Roman"/>
        <family val="0"/>
        <charset val="1"/>
      </rPr>
      <t xml:space="preserve">1</t>
    </r>
    <r>
      <rPr>
        <b val="true"/>
        <sz val="11"/>
        <color rgb="FF000000"/>
        <rFont val="宋体"/>
        <family val="0"/>
        <charset val="1"/>
      </rPr>
      <t xml:space="preserve">）</t>
    </r>
  </si>
  <si>
    <t xml:space="preserve">灵敏度溶液</t>
  </si>
  <si>
    <t xml:space="preserve">供试品批号</t>
  </si>
  <si>
    <r>
      <rPr>
        <sz val="11"/>
        <rFont val="宋体"/>
        <family val="0"/>
        <charset val="1"/>
      </rPr>
      <t xml:space="preserve">保留时间（</t>
    </r>
    <r>
      <rPr>
        <sz val="11"/>
        <rFont val="Times New Roman"/>
        <family val="0"/>
        <charset val="1"/>
      </rPr>
      <t xml:space="preserve">min</t>
    </r>
    <r>
      <rPr>
        <sz val="11"/>
        <rFont val="宋体"/>
        <family val="0"/>
        <charset val="1"/>
      </rPr>
      <t xml:space="preserve">）</t>
    </r>
  </si>
  <si>
    <r>
      <rPr>
        <sz val="11"/>
        <rFont val="宋体"/>
        <family val="0"/>
        <charset val="1"/>
      </rPr>
      <t xml:space="preserve">峰面积
（</t>
    </r>
    <r>
      <rPr>
        <sz val="11"/>
        <rFont val="Times New Roman"/>
        <family val="0"/>
        <charset val="1"/>
      </rPr>
      <t xml:space="preserve">mAU*min</t>
    </r>
    <r>
      <rPr>
        <sz val="11"/>
        <rFont val="宋体"/>
        <family val="0"/>
        <charset val="1"/>
      </rPr>
      <t xml:space="preserve">）</t>
    </r>
  </si>
  <si>
    <t xml:space="preserve">信噪比</t>
  </si>
  <si>
    <t xml:space="preserve">供试品名称：</t>
  </si>
  <si>
    <r>
      <rPr>
        <sz val="11"/>
        <color rgb="FF000000"/>
        <rFont val="Times New Roman"/>
        <family val="0"/>
        <charset val="1"/>
      </rPr>
      <t xml:space="preserve">LMS002-26040105 </t>
    </r>
    <r>
      <rPr>
        <sz val="11"/>
        <color rgb="FF000000"/>
        <rFont val="宋体"/>
        <family val="0"/>
        <charset val="1"/>
      </rPr>
      <t xml:space="preserve">（复测）</t>
    </r>
  </si>
  <si>
    <r>
      <rPr>
        <sz val="11"/>
        <color rgb="FF000000"/>
        <rFont val="Times New Roman"/>
        <family val="0"/>
        <charset val="1"/>
      </rPr>
      <t xml:space="preserve">LMS002-260401-06 </t>
    </r>
    <r>
      <rPr>
        <sz val="11"/>
        <color rgb="FF000000"/>
        <rFont val="宋体"/>
        <family val="0"/>
        <charset val="1"/>
      </rPr>
      <t xml:space="preserve">（复测）</t>
    </r>
  </si>
  <si>
    <t xml:space="preserve">对照成分名称</t>
  </si>
  <si>
    <t xml:space="preserve">相对保留时间</t>
  </si>
  <si>
    <r>
      <rPr>
        <sz val="11"/>
        <rFont val="宋体"/>
        <family val="0"/>
        <charset val="1"/>
      </rPr>
      <t xml:space="preserve">保留时间
（</t>
    </r>
    <r>
      <rPr>
        <sz val="11"/>
        <rFont val="Times New Roman"/>
        <family val="0"/>
        <charset val="1"/>
      </rPr>
      <t xml:space="preserve">min</t>
    </r>
    <r>
      <rPr>
        <sz val="11"/>
        <rFont val="宋体"/>
        <family val="0"/>
        <charset val="1"/>
      </rPr>
      <t xml:space="preserve">）</t>
    </r>
  </si>
  <si>
    <t xml:space="preserve">稀释倍数</t>
  </si>
  <si>
    <t xml:space="preserve">自身对照</t>
  </si>
  <si>
    <t xml:space="preserve">黄体酮</t>
  </si>
  <si>
    <t xml:space="preserve">杂质名称</t>
  </si>
  <si>
    <r>
      <rPr>
        <sz val="11"/>
        <rFont val="宋体"/>
        <family val="0"/>
        <charset val="1"/>
      </rPr>
      <t xml:space="preserve">含量（</t>
    </r>
    <r>
      <rPr>
        <sz val="11"/>
        <rFont val="Times New Roman"/>
        <family val="0"/>
        <charset val="1"/>
      </rPr>
      <t xml:space="preserve">%</t>
    </r>
    <r>
      <rPr>
        <sz val="11"/>
        <rFont val="宋体"/>
        <family val="0"/>
        <charset val="1"/>
      </rPr>
      <t xml:space="preserve">）</t>
    </r>
  </si>
  <si>
    <r>
      <rPr>
        <sz val="11"/>
        <rFont val="宋体"/>
        <family val="0"/>
        <charset val="1"/>
      </rPr>
      <t xml:space="preserve">报告值（</t>
    </r>
    <r>
      <rPr>
        <sz val="11"/>
        <rFont val="Times New Roman"/>
        <family val="0"/>
        <charset val="1"/>
      </rPr>
      <t xml:space="preserve">%</t>
    </r>
    <r>
      <rPr>
        <sz val="11"/>
        <rFont val="宋体"/>
        <family val="0"/>
        <charset val="1"/>
      </rPr>
      <t xml:space="preserve">）</t>
    </r>
  </si>
  <si>
    <t xml:space="preserve">已知杂质</t>
  </si>
  <si>
    <r>
      <rPr>
        <sz val="11"/>
        <rFont val="宋体"/>
        <family val="0"/>
        <charset val="1"/>
      </rPr>
      <t xml:space="preserve">杂质</t>
    </r>
    <r>
      <rPr>
        <sz val="11"/>
        <rFont val="Times New Roman"/>
        <family val="0"/>
        <charset val="1"/>
      </rPr>
      <t xml:space="preserve">M</t>
    </r>
  </si>
  <si>
    <t xml:space="preserve">其他单个杂质</t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</si>
  <si>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1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</si>
  <si>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2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</si>
  <si>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3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</si>
  <si>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4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</si>
  <si>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5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</si>
  <si>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6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</si>
  <si>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7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</si>
  <si>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8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</si>
  <si>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9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</si>
  <si>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10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</si>
  <si>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11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</si>
  <si>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12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</si>
  <si>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13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</si>
  <si>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14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</si>
  <si>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15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</si>
  <si>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16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</si>
  <si>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17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</si>
  <si>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18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</si>
  <si>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19</t>
    </r>
  </si>
  <si>
    <r>
      <rPr>
        <sz val="11"/>
        <rFont val="宋体"/>
        <family val="0"/>
        <charset val="1"/>
      </rPr>
      <t xml:space="preserve">其他单个杂质</t>
    </r>
    <r>
      <rPr>
        <sz val="11"/>
        <rFont val="Times New Roman"/>
        <family val="0"/>
        <charset val="1"/>
      </rPr>
      <t xml:space="preserve">20</t>
    </r>
  </si>
  <si>
    <t xml:space="preserve">统计</t>
  </si>
  <si>
    <r>
      <rPr>
        <sz val="11"/>
        <rFont val="宋体"/>
        <family val="0"/>
        <charset val="1"/>
      </rPr>
      <t xml:space="preserve">最大未知单杂（</t>
    </r>
    <r>
      <rPr>
        <sz val="11"/>
        <rFont val="Times New Roman"/>
        <family val="0"/>
        <charset val="1"/>
      </rPr>
      <t xml:space="preserve">%</t>
    </r>
    <r>
      <rPr>
        <sz val="11"/>
        <rFont val="宋体"/>
        <family val="0"/>
        <charset val="1"/>
      </rPr>
      <t xml:space="preserve">）
</t>
    </r>
    <r>
      <rPr>
        <sz val="11"/>
        <rFont val="Times New Roman"/>
        <family val="0"/>
        <charset val="1"/>
      </rPr>
      <t xml:space="preserve">/</t>
    </r>
  </si>
  <si>
    <r>
      <rPr>
        <sz val="11"/>
        <rFont val="宋体"/>
        <family val="0"/>
        <charset val="1"/>
      </rPr>
      <t xml:space="preserve">总杂质（</t>
    </r>
    <r>
      <rPr>
        <sz val="11"/>
        <rFont val="Times New Roman"/>
        <family val="0"/>
        <charset val="1"/>
      </rPr>
      <t xml:space="preserve">%</t>
    </r>
    <r>
      <rPr>
        <sz val="11"/>
        <rFont val="宋体"/>
        <family val="0"/>
        <charset val="1"/>
      </rPr>
      <t xml:space="preserve">）</t>
    </r>
  </si>
  <si>
    <r>
      <rPr>
        <sz val="11"/>
        <rFont val="宋体"/>
        <family val="0"/>
        <charset val="1"/>
      </rPr>
      <t xml:space="preserve">总杂质（</t>
    </r>
    <r>
      <rPr>
        <sz val="11"/>
        <rFont val="Times New Roman"/>
        <family val="0"/>
        <charset val="1"/>
      </rPr>
      <t xml:space="preserve">%</t>
    </r>
    <r>
      <rPr>
        <sz val="11"/>
        <rFont val="宋体"/>
        <family val="0"/>
        <charset val="1"/>
      </rPr>
      <t xml:space="preserve">）（小于灵敏度溶液主成分峰峰面积的色谱峰忽略不计）</t>
    </r>
  </si>
  <si>
    <t xml:space="preserve">计算公式</t>
  </si>
  <si>
    <t xml:space="preserve"> </t>
  </si>
  <si>
    <t xml:space="preserve">检验人：</t>
  </si>
  <si>
    <t xml:space="preserve">复核人：</t>
  </si>
  <si>
    <r>
      <rPr>
        <sz val="11"/>
        <color rgb="FF000000"/>
        <rFont val="Times New Roman"/>
        <family val="0"/>
        <charset val="1"/>
      </rPr>
      <t xml:space="preserve">LMS002-260401-07 </t>
    </r>
    <r>
      <rPr>
        <sz val="11"/>
        <color rgb="FF000000"/>
        <rFont val="宋体"/>
        <family val="0"/>
        <charset val="1"/>
      </rPr>
      <t xml:space="preserve">（复测）</t>
    </r>
  </si>
  <si>
    <r>
      <rPr>
        <sz val="11"/>
        <color rgb="FF000000"/>
        <rFont val="Times New Roman"/>
        <family val="0"/>
        <charset val="1"/>
      </rPr>
      <t xml:space="preserve">LMS002-260401-09 </t>
    </r>
    <r>
      <rPr>
        <sz val="11"/>
        <color rgb="FF000000"/>
        <rFont val="宋体"/>
        <family val="0"/>
        <charset val="1"/>
      </rPr>
      <t xml:space="preserve">（复测）</t>
    </r>
  </si>
  <si>
    <r>
      <rPr>
        <sz val="11"/>
        <color rgb="FF000000"/>
        <rFont val="Times New Roman"/>
        <family val="0"/>
        <charset val="1"/>
      </rPr>
      <t xml:space="preserve">LMS002-260401-10 </t>
    </r>
    <r>
      <rPr>
        <sz val="11"/>
        <color rgb="FF000000"/>
        <rFont val="宋体"/>
        <family val="0"/>
        <charset val="1"/>
      </rPr>
      <t xml:space="preserve">（复测）</t>
    </r>
  </si>
  <si>
    <r>
      <rPr>
        <sz val="11"/>
        <color rgb="FF000000"/>
        <rFont val="Times New Roman"/>
        <family val="0"/>
        <charset val="1"/>
      </rPr>
      <t xml:space="preserve">LMS002-260401-11 </t>
    </r>
    <r>
      <rPr>
        <sz val="11"/>
        <color rgb="FF000000"/>
        <rFont val="宋体"/>
        <family val="0"/>
        <charset val="1"/>
      </rPr>
      <t xml:space="preserve">（复测）</t>
    </r>
  </si>
  <si>
    <r>
      <rPr>
        <sz val="11"/>
        <color rgb="FF000000"/>
        <rFont val="Times New Roman"/>
        <family val="0"/>
        <charset val="1"/>
      </rPr>
      <t xml:space="preserve">LMS002-260401-12 </t>
    </r>
    <r>
      <rPr>
        <sz val="11"/>
        <color rgb="FF000000"/>
        <rFont val="宋体"/>
        <family val="0"/>
        <charset val="1"/>
      </rPr>
      <t xml:space="preserve">（复测）</t>
    </r>
  </si>
  <si>
    <r>
      <rPr>
        <sz val="11"/>
        <color rgb="FF000000"/>
        <rFont val="Times New Roman"/>
        <family val="0"/>
        <charset val="1"/>
      </rPr>
      <t xml:space="preserve">LMS002-260401-13 </t>
    </r>
    <r>
      <rPr>
        <sz val="11"/>
        <color rgb="FF000000"/>
        <rFont val="宋体"/>
        <family val="0"/>
        <charset val="1"/>
      </rPr>
      <t xml:space="preserve">（复测）</t>
    </r>
  </si>
  <si>
    <r>
      <rPr>
        <sz val="11"/>
        <color rgb="FF000000"/>
        <rFont val="Times New Roman"/>
        <family val="0"/>
        <charset val="1"/>
      </rPr>
      <t xml:space="preserve">LMS002-260401-14 </t>
    </r>
    <r>
      <rPr>
        <sz val="11"/>
        <color rgb="FF000000"/>
        <rFont val="宋体"/>
        <family val="0"/>
        <charset val="1"/>
      </rPr>
      <t xml:space="preserve">（复测）</t>
    </r>
  </si>
  <si>
    <t xml:space="preserve">20260407-01</t>
  </si>
  <si>
    <t xml:space="preserve">序号 </t>
  </si>
  <si>
    <t xml:space="preserve">进样名称</t>
  </si>
  <si>
    <t xml:space="preserve">位置 </t>
  </si>
  <si>
    <t xml:space="preserve">类型 </t>
  </si>
  <si>
    <t xml:space="preserve">进样时间 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</si>
  <si>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流动相</t>
    </r>
    <r>
      <rPr>
        <sz val="11"/>
        <color rgb="FF000000"/>
        <rFont val="Times New Roman"/>
        <family val="0"/>
        <charset val="1"/>
      </rPr>
      <t xml:space="preserve">A-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</si>
  <si>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RA1</t>
  </si>
  <si>
    <t xml:space="preserve">未知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</si>
  <si>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流动相</t>
    </r>
    <r>
      <rPr>
        <sz val="11"/>
        <color rgb="FF000000"/>
        <rFont val="Times New Roman"/>
        <family val="0"/>
        <charset val="1"/>
      </rPr>
      <t xml:space="preserve">A-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-1-2</t>
    </r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</si>
  <si>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流动相</t>
    </r>
    <r>
      <rPr>
        <sz val="11"/>
        <color rgb="FF000000"/>
        <rFont val="Times New Roman"/>
        <family val="0"/>
        <charset val="1"/>
      </rPr>
      <t xml:space="preserve">B-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</si>
  <si>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RA2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</si>
  <si>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灵敏度溶液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LMS002-260401-05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</si>
  <si>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RA3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</si>
  <si>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系统适用性溶液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</si>
  <si>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RA4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</si>
  <si>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对照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</si>
  <si>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RA5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</si>
  <si>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对照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-1-2</t>
    </r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</si>
  <si>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对照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-1-3</t>
    </r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</si>
  <si>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对照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-1-4</t>
    </r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</si>
  <si>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对照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-1-5</t>
    </r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</si>
  <si>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对照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-1-6</t>
    </r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</si>
  <si>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对照溶液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LMS002-260401-05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</si>
  <si>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RA6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</si>
  <si>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LMS002-260401-05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</si>
  <si>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RA7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</si>
  <si>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对照溶液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LMS002-260401-06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</si>
  <si>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RA8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</si>
  <si>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LMS002-260401-06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</si>
  <si>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RB1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</si>
  <si>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对照溶液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LMS002-260401-07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</si>
  <si>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RB2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</si>
  <si>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LMS002-260401-07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</si>
  <si>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RB3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</si>
  <si>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对照溶液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LMS002-260401-09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</si>
  <si>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RB4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</si>
  <si>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LMS002-260401-09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</si>
  <si>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RB5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</si>
  <si>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对照溶液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LMS002-260401-10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</si>
  <si>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RB6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</si>
  <si>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LMS002-260401-10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</si>
  <si>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RB7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</si>
  <si>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对照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-1-7</t>
    </r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</si>
  <si>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对照溶液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LMS002-260401-11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</si>
  <si>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RB8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</si>
  <si>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LMS002-260401-11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</si>
  <si>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RC1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</si>
  <si>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对照溶液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LMS002-260401-12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</si>
  <si>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RC2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</si>
  <si>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LMS002-260401-12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</si>
  <si>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RC3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</si>
  <si>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对照溶液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LMS002-260401-13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</si>
  <si>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RC4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</si>
  <si>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LMS002-260401-13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</si>
  <si>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RC5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</si>
  <si>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对照溶液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LMS002-260401-14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</si>
  <si>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RC6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</si>
  <si>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成品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（</t>
    </r>
    <r>
      <rPr>
        <sz val="11"/>
        <color rgb="FF000000"/>
        <rFont val="Times New Roman"/>
        <family val="0"/>
        <charset val="1"/>
      </rPr>
      <t xml:space="preserve">LMS002-260401-14</t>
    </r>
    <r>
      <rPr>
        <sz val="11"/>
        <color rgb="FF000000"/>
        <rFont val="宋体"/>
        <family val="0"/>
        <charset val="1"/>
      </rPr>
      <t xml:space="preserve">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</si>
  <si>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RC7</t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</si>
  <si>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对照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-1-8</t>
    </r>
  </si>
  <si>
    <r>
      <rPr>
        <sz val="11"/>
        <color rgb="FF000000"/>
        <rFont val="Times New Roman"/>
        <family val="0"/>
        <charset val="1"/>
      </rPr>
      <t xml:space="preserve">LMS002-</t>
    </r>
    <r>
      <rPr>
        <sz val="11"/>
        <color rgb="FF000000"/>
        <rFont val="宋体"/>
        <family val="0"/>
        <charset val="1"/>
      </rPr>
      <t xml:space="preserve">冲机</t>
    </r>
    <r>
      <rPr>
        <sz val="11"/>
        <color rgb="FF000000"/>
        <rFont val="Times New Roman"/>
        <family val="0"/>
        <charset val="1"/>
      </rPr>
      <t xml:space="preserve">-</t>
    </r>
    <r>
      <rPr>
        <sz val="11"/>
        <color rgb="FF000000"/>
        <rFont val="宋体"/>
        <family val="0"/>
        <charset val="1"/>
      </rPr>
      <t xml:space="preserve">检查（有关物质）</t>
    </r>
    <r>
      <rPr>
        <sz val="11"/>
        <color rgb="FF000000"/>
        <rFont val="Times New Roman"/>
        <family val="0"/>
        <charset val="1"/>
      </rPr>
      <t xml:space="preserve">-1-1</t>
    </r>
  </si>
  <si>
    <t xml:space="preserve">空白</t>
  </si>
</sst>
</file>

<file path=xl/styles.xml><?xml version="1.0" encoding="utf-8"?>
<styleSheet xmlns="http://schemas.openxmlformats.org/spreadsheetml/2006/main">
  <numFmts count="20">
    <numFmt numFmtId="164" formatCode="0.00\ "/>
    <numFmt numFmtId="165" formatCode="0.0\ "/>
    <numFmt numFmtId="166" formatCode="General"/>
    <numFmt numFmtId="167" formatCode="yyyy\-m\-d"/>
    <numFmt numFmtId="168" formatCode="0.0000\ "/>
    <numFmt numFmtId="169" formatCode="0.000\ "/>
    <numFmt numFmtId="170" formatCode="0.0%"/>
    <numFmt numFmtId="171" formatCode="0\ "/>
    <numFmt numFmtId="172" formatCode="0.00%"/>
    <numFmt numFmtId="173" formatCode="0%"/>
    <numFmt numFmtId="174" formatCode="0.0000\ ;[RED]\(0.0000\)"/>
    <numFmt numFmtId="175" formatCode="0.0000"/>
    <numFmt numFmtId="176" formatCode="0.000\ ;[RED]\(0.000\)"/>
    <numFmt numFmtId="177" formatCode="0.0\ ;[RED]\(0.0\)"/>
    <numFmt numFmtId="178" formatCode="0\ ;[RED]\(0\)"/>
    <numFmt numFmtId="179" formatCode="0.00000"/>
    <numFmt numFmtId="180" formatCode="0.000"/>
    <numFmt numFmtId="181" formatCode="0.000000"/>
    <numFmt numFmtId="182" formatCode="General"/>
    <numFmt numFmtId="183" formatCode="yyyy\-m\-d\ h:mm"/>
  </numFmts>
  <fonts count="15">
    <font>
      <sz val="11"/>
      <color rgb="FF000000"/>
      <name val="宋体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宋体"/>
      <family val="0"/>
      <charset val="1"/>
    </font>
    <font>
      <sz val="11"/>
      <name val="宋体"/>
      <family val="0"/>
      <charset val="1"/>
    </font>
    <font>
      <b val="true"/>
      <sz val="18"/>
      <color rgb="FF000000"/>
      <name val="宋体"/>
      <family val="0"/>
      <charset val="1"/>
    </font>
    <font>
      <b val="true"/>
      <sz val="11"/>
      <color rgb="FF000000"/>
      <name val="宋体"/>
      <family val="0"/>
      <charset val="1"/>
    </font>
    <font>
      <sz val="11"/>
      <color rgb="FF000000"/>
      <name val="Times New Roman"/>
      <family val="0"/>
      <charset val="1"/>
    </font>
    <font>
      <sz val="11"/>
      <name val="Times New Roman"/>
      <family val="0"/>
      <charset val="1"/>
    </font>
    <font>
      <b val="true"/>
      <sz val="11"/>
      <name val="宋体"/>
      <family val="0"/>
      <charset val="1"/>
    </font>
    <font>
      <b val="true"/>
      <sz val="11"/>
      <color rgb="FF000000"/>
      <name val="Times New Roman"/>
      <family val="0"/>
      <charset val="1"/>
    </font>
    <font>
      <b val="true"/>
      <vertAlign val="subscript"/>
      <sz val="11"/>
      <color rgb="FF000000"/>
      <name val="宋体"/>
      <family val="0"/>
      <charset val="1"/>
    </font>
    <font>
      <b val="true"/>
      <sz val="11"/>
      <name val="Times New Roman"/>
      <family val="0"/>
      <charset val="1"/>
    </font>
    <font>
      <sz val="20"/>
      <color rgb="FF000000"/>
      <name val="Times New Roman"/>
      <family val="0"/>
      <charset val="1"/>
    </font>
  </fonts>
  <fills count="5">
    <fill>
      <patternFill patternType="none"/>
    </fill>
    <fill>
      <patternFill patternType="gray125"/>
    </fill>
    <fill>
      <patternFill patternType="solid">
        <fgColor rgb="FF92D050"/>
        <bgColor rgb="FFC0C0C0"/>
      </patternFill>
    </fill>
    <fill>
      <patternFill patternType="solid">
        <fgColor rgb="FFD9D9D9"/>
        <bgColor rgb="FFDCE6F2"/>
      </patternFill>
    </fill>
    <fill>
      <patternFill patternType="solid">
        <fgColor rgb="FFDCE6F2"/>
        <bgColor rgb="FFD9D9D9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/>
      <diagonal/>
    </border>
  </borders>
  <cellStyleXfs count="21"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3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71">
    <xf numFmtId="166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6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6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7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8" fillId="2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0" fillId="2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7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9" fillId="2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9" fillId="2" borderId="1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6" fontId="1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2" borderId="1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6" fontId="0" fillId="0" borderId="0" xfId="0" applyFont="true" applyBorder="false" applyAlignment="false" applyProtection="true">
      <alignment horizontal="general" vertical="center" textRotation="0" wrapText="false" indent="0" shrinkToFit="false"/>
      <protection locked="true" hidden="false"/>
    </xf>
    <xf numFmtId="166" fontId="9" fillId="2" borderId="1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6" fontId="10" fillId="3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7" fillId="3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1" fillId="3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5" fillId="2" borderId="1" xfId="2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8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9" fontId="8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8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1" fontId="8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0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0" fillId="2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5" fillId="0" borderId="1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9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3" fontId="8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7" fillId="3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11" fillId="0" borderId="1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13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9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1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5" fontId="9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5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5" fillId="2" borderId="1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10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7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3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9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9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0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0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1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3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3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5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2" fontId="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5" fillId="2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4" fontId="5" fillId="2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5" fontId="5" fillId="2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6" fontId="5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6" fontId="1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8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83" fontId="8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常规 2" xfId="20"/>
  </cellStyles>
  <dxfs count="4">
    <dxf>
      <font>
        <name val="宋体"/>
        <charset val="1"/>
        <family val="0"/>
        <color rgb="FF000000"/>
        <sz val="11"/>
      </font>
      <fill>
        <patternFill>
          <bgColor rgb="FFFFFFFF"/>
        </patternFill>
      </fill>
    </dxf>
    <dxf>
      <font>
        <name val="宋体"/>
        <charset val="1"/>
        <family val="0"/>
        <color rgb="FF000000"/>
        <sz val="11"/>
      </font>
      <fill>
        <patternFill>
          <bgColor rgb="FFFF0000"/>
        </patternFill>
      </fill>
    </dxf>
    <dxf>
      <font>
        <name val="宋体"/>
        <charset val="1"/>
        <family val="0"/>
        <color rgb="FF000000"/>
        <sz val="11"/>
      </font>
      <numFmt numFmtId="164" formatCode="0.00\ "/>
    </dxf>
    <dxf>
      <font>
        <name val="宋体"/>
        <charset val="1"/>
        <family val="0"/>
        <color rgb="FF000000"/>
        <sz val="11"/>
      </font>
      <numFmt numFmtId="165" formatCode="0.0\ "/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CE6F2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9.wmf"/><Relationship Id="rId2" Type="http://schemas.openxmlformats.org/officeDocument/2006/relationships/image" Target="../media/image10.wmf"/><Relationship Id="rId3" Type="http://schemas.openxmlformats.org/officeDocument/2006/relationships/image" Target="../media/image11.wmf"/><Relationship Id="rId4" Type="http://schemas.openxmlformats.org/officeDocument/2006/relationships/image" Target="../media/image12.wmf"/><Relationship Id="rId5" Type="http://schemas.openxmlformats.org/officeDocument/2006/relationships/image" Target="../media/image13.wmf"/><Relationship Id="rId6" Type="http://schemas.openxmlformats.org/officeDocument/2006/relationships/image" Target="../media/image14.wmf"/><Relationship Id="rId7" Type="http://schemas.openxmlformats.org/officeDocument/2006/relationships/image" Target="../media/image15.wmf"/><Relationship Id="rId8" Type="http://schemas.openxmlformats.org/officeDocument/2006/relationships/image" Target="../media/image16.wmf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2</xdr:col>
      <xdr:colOff>598680</xdr:colOff>
      <xdr:row>59</xdr:row>
      <xdr:rowOff>48240</xdr:rowOff>
    </xdr:from>
    <xdr:to>
      <xdr:col>6</xdr:col>
      <xdr:colOff>37080</xdr:colOff>
      <xdr:row>67</xdr:row>
      <xdr:rowOff>76680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4212360" y="13840560"/>
          <a:ext cx="3695400" cy="1436040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609480</xdr:colOff>
      <xdr:row>100</xdr:row>
      <xdr:rowOff>71640</xdr:rowOff>
    </xdr:from>
    <xdr:to>
      <xdr:col>6</xdr:col>
      <xdr:colOff>47880</xdr:colOff>
      <xdr:row>108</xdr:row>
      <xdr:rowOff>100080</xdr:rowOff>
    </xdr:to>
    <xdr:pic>
      <xdr:nvPicPr>
        <xdr:cNvPr id="1" name="Picture 2" descr=""/>
        <xdr:cNvPicPr/>
      </xdr:nvPicPr>
      <xdr:blipFill>
        <a:blip r:embed="rId2"/>
        <a:stretch/>
      </xdr:blipFill>
      <xdr:spPr>
        <a:xfrm>
          <a:off x="4223160" y="22968000"/>
          <a:ext cx="3695400" cy="1436040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288360</xdr:colOff>
      <xdr:row>142</xdr:row>
      <xdr:rowOff>49320</xdr:rowOff>
    </xdr:from>
    <xdr:to>
      <xdr:col>5</xdr:col>
      <xdr:colOff>790920</xdr:colOff>
      <xdr:row>150</xdr:row>
      <xdr:rowOff>83160</xdr:rowOff>
    </xdr:to>
    <xdr:pic>
      <xdr:nvPicPr>
        <xdr:cNvPr id="2" name="Picture 3" descr=""/>
        <xdr:cNvPicPr/>
      </xdr:nvPicPr>
      <xdr:blipFill>
        <a:blip r:embed="rId3"/>
        <a:stretch/>
      </xdr:blipFill>
      <xdr:spPr>
        <a:xfrm>
          <a:off x="3902040" y="32230440"/>
          <a:ext cx="3695400" cy="1436040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421560</xdr:colOff>
      <xdr:row>183</xdr:row>
      <xdr:rowOff>52200</xdr:rowOff>
    </xdr:from>
    <xdr:to>
      <xdr:col>5</xdr:col>
      <xdr:colOff>924120</xdr:colOff>
      <xdr:row>191</xdr:row>
      <xdr:rowOff>86040</xdr:rowOff>
    </xdr:to>
    <xdr:pic>
      <xdr:nvPicPr>
        <xdr:cNvPr id="3" name="Picture 4" descr=""/>
        <xdr:cNvPicPr/>
      </xdr:nvPicPr>
      <xdr:blipFill>
        <a:blip r:embed="rId4"/>
        <a:stretch/>
      </xdr:blipFill>
      <xdr:spPr>
        <a:xfrm>
          <a:off x="4035240" y="41337360"/>
          <a:ext cx="3695400" cy="1436040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632160</xdr:colOff>
      <xdr:row>223</xdr:row>
      <xdr:rowOff>158760</xdr:rowOff>
    </xdr:from>
    <xdr:to>
      <xdr:col>6</xdr:col>
      <xdr:colOff>70560</xdr:colOff>
      <xdr:row>232</xdr:row>
      <xdr:rowOff>11520</xdr:rowOff>
    </xdr:to>
    <xdr:pic>
      <xdr:nvPicPr>
        <xdr:cNvPr id="4" name="Picture 5" descr=""/>
        <xdr:cNvPicPr/>
      </xdr:nvPicPr>
      <xdr:blipFill>
        <a:blip r:embed="rId5"/>
        <a:stretch/>
      </xdr:blipFill>
      <xdr:spPr>
        <a:xfrm>
          <a:off x="4245840" y="50366880"/>
          <a:ext cx="3695400" cy="1436040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388080</xdr:colOff>
      <xdr:row>265</xdr:row>
      <xdr:rowOff>30240</xdr:rowOff>
    </xdr:from>
    <xdr:to>
      <xdr:col>5</xdr:col>
      <xdr:colOff>890640</xdr:colOff>
      <xdr:row>273</xdr:row>
      <xdr:rowOff>64080</xdr:rowOff>
    </xdr:to>
    <xdr:pic>
      <xdr:nvPicPr>
        <xdr:cNvPr id="5" name="Picture 6" descr=""/>
        <xdr:cNvPicPr/>
      </xdr:nvPicPr>
      <xdr:blipFill>
        <a:blip r:embed="rId6"/>
        <a:stretch/>
      </xdr:blipFill>
      <xdr:spPr>
        <a:xfrm>
          <a:off x="4001760" y="59529600"/>
          <a:ext cx="3695400" cy="1436040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221400</xdr:colOff>
      <xdr:row>305</xdr:row>
      <xdr:rowOff>136080</xdr:rowOff>
    </xdr:from>
    <xdr:to>
      <xdr:col>5</xdr:col>
      <xdr:colOff>723960</xdr:colOff>
      <xdr:row>313</xdr:row>
      <xdr:rowOff>164160</xdr:rowOff>
    </xdr:to>
    <xdr:pic>
      <xdr:nvPicPr>
        <xdr:cNvPr id="6" name="Picture 7" descr=""/>
        <xdr:cNvPicPr/>
      </xdr:nvPicPr>
      <xdr:blipFill>
        <a:blip r:embed="rId7"/>
        <a:stretch/>
      </xdr:blipFill>
      <xdr:spPr>
        <a:xfrm>
          <a:off x="3835080" y="68564880"/>
          <a:ext cx="3695400" cy="1436040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210600</xdr:colOff>
      <xdr:row>346</xdr:row>
      <xdr:rowOff>76680</xdr:rowOff>
    </xdr:from>
    <xdr:to>
      <xdr:col>5</xdr:col>
      <xdr:colOff>713160</xdr:colOff>
      <xdr:row>354</xdr:row>
      <xdr:rowOff>105120</xdr:rowOff>
    </xdr:to>
    <xdr:pic>
      <xdr:nvPicPr>
        <xdr:cNvPr id="7" name="Picture 8" descr=""/>
        <xdr:cNvPicPr/>
      </xdr:nvPicPr>
      <xdr:blipFill>
        <a:blip r:embed="rId8"/>
        <a:stretch/>
      </xdr:blipFill>
      <xdr:spPr>
        <a:xfrm>
          <a:off x="3824280" y="77616000"/>
          <a:ext cx="3695400" cy="143604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:IL356"/>
  <sheetViews>
    <sheetView showFormulas="false" showGridLines="true" showRowColHeaders="true" showZeros="true" rightToLeft="false" tabSelected="true" showOutlineSymbols="true" defaultGridColor="true" view="normal" topLeftCell="A13" colorId="64" zoomScale="85" zoomScaleNormal="85" zoomScalePageLayoutView="100" workbookViewId="0">
      <selection pane="topLeft" activeCell="N22" activeCellId="0" sqref="N22"/>
    </sheetView>
  </sheetViews>
  <sheetFormatPr defaultColWidth="9.00390625" defaultRowHeight="13.8" zeroHeight="false" outlineLevelRow="0" outlineLevelCol="0"/>
  <cols>
    <col collapsed="false" customWidth="true" hidden="false" outlineLevel="0" max="1" min="1" style="1" width="21.63"/>
    <col collapsed="false" customWidth="true" hidden="false" outlineLevel="0" max="2" min="2" style="1" width="24.63"/>
    <col collapsed="false" customWidth="true" hidden="false" outlineLevel="0" max="6" min="3" style="1" width="13.62"/>
    <col collapsed="false" customWidth="true" hidden="false" outlineLevel="0" max="7" min="7" style="1" width="14.13"/>
    <col collapsed="false" customWidth="true" hidden="false" outlineLevel="0" max="8" min="8" style="1" width="21.63"/>
    <col collapsed="false" customWidth="true" hidden="false" outlineLevel="0" max="9" min="9" style="1" width="24.63"/>
    <col collapsed="false" customWidth="true" hidden="false" outlineLevel="0" max="13" min="10" style="1" width="13.62"/>
    <col collapsed="false" customWidth="true" hidden="false" outlineLevel="0" max="14" min="14" style="1" width="14.13"/>
    <col collapsed="false" customWidth="false" hidden="false" outlineLevel="0" max="243" min="15" style="1" width="9"/>
    <col collapsed="false" customWidth="false" hidden="false" outlineLevel="0" max="1024" min="244" style="2" width="9"/>
  </cols>
  <sheetData>
    <row r="1" s="5" customFormat="true" ht="13.8" hidden="false" customHeight="false" outlineLevel="0" collapsed="false">
      <c r="A1" s="3" t="s">
        <v>0</v>
      </c>
      <c r="B1" s="3"/>
      <c r="C1" s="3"/>
      <c r="D1" s="3"/>
      <c r="E1" s="3"/>
      <c r="F1" s="3"/>
      <c r="G1" s="3"/>
      <c r="H1" s="3"/>
      <c r="I1" s="3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</row>
    <row r="2" s="2" customFormat="true" ht="13.8" hidden="false" customHeight="false" outlineLevel="0" collapsed="false">
      <c r="A2" s="3"/>
      <c r="B2" s="3"/>
      <c r="C2" s="3"/>
      <c r="D2" s="3"/>
      <c r="E2" s="3"/>
      <c r="F2" s="3"/>
      <c r="G2" s="3"/>
      <c r="H2" s="3"/>
      <c r="I2" s="3"/>
    </row>
    <row r="3" s="2" customFormat="true" ht="30" hidden="false" customHeight="true" outlineLevel="0" collapsed="false">
      <c r="A3" s="6" t="s">
        <v>1</v>
      </c>
      <c r="B3" s="7" t="s">
        <v>2</v>
      </c>
      <c r="C3" s="6" t="s">
        <v>3</v>
      </c>
      <c r="D3" s="8" t="s">
        <v>4</v>
      </c>
      <c r="E3" s="9" t="s">
        <v>5</v>
      </c>
      <c r="F3" s="10" t="s">
        <v>6</v>
      </c>
      <c r="G3" s="9" t="s">
        <v>7</v>
      </c>
      <c r="H3" s="11" t="s">
        <v>8</v>
      </c>
      <c r="I3" s="11"/>
    </row>
    <row r="4" s="2" customFormat="true" ht="17.15" hidden="false" customHeight="false" outlineLevel="0" collapsed="false">
      <c r="A4" s="9" t="s">
        <v>9</v>
      </c>
      <c r="B4" s="9" t="s">
        <v>10</v>
      </c>
      <c r="C4" s="12" t="s">
        <v>11</v>
      </c>
      <c r="D4" s="12"/>
      <c r="E4" s="12"/>
      <c r="F4" s="12"/>
      <c r="G4" s="12"/>
      <c r="H4" s="12"/>
      <c r="I4" s="12"/>
    </row>
    <row r="5" s="2" customFormat="true" ht="17.15" hidden="false" customHeight="false" outlineLevel="0" collapsed="false">
      <c r="A5" s="9"/>
      <c r="B5" s="13" t="s">
        <v>12</v>
      </c>
      <c r="C5" s="14" t="s">
        <v>13</v>
      </c>
      <c r="D5" s="14"/>
      <c r="E5" s="14"/>
      <c r="F5" s="14"/>
      <c r="G5" s="14"/>
      <c r="H5" s="14"/>
      <c r="I5" s="14"/>
    </row>
    <row r="6" s="2" customFormat="true" ht="17.15" hidden="false" customHeight="false" outlineLevel="0" collapsed="false">
      <c r="A6" s="9"/>
      <c r="B6" s="13" t="s">
        <v>14</v>
      </c>
      <c r="C6" s="14" t="s">
        <v>15</v>
      </c>
      <c r="D6" s="14"/>
      <c r="E6" s="14"/>
      <c r="F6" s="14"/>
      <c r="G6" s="14"/>
      <c r="H6" s="14"/>
      <c r="I6" s="14"/>
    </row>
    <row r="7" s="2" customFormat="true" ht="17.15" hidden="false" customHeight="false" outlineLevel="0" collapsed="false">
      <c r="A7" s="9"/>
      <c r="B7" s="13" t="s">
        <v>16</v>
      </c>
      <c r="C7" s="14" t="s">
        <v>17</v>
      </c>
      <c r="D7" s="14"/>
      <c r="E7" s="14"/>
      <c r="F7" s="14"/>
      <c r="G7" s="14"/>
      <c r="H7" s="14"/>
      <c r="I7" s="14"/>
    </row>
    <row r="8" s="15" customFormat="true" ht="17.15" hidden="false" customHeight="false" outlineLevel="0" collapsed="false">
      <c r="A8" s="9"/>
      <c r="B8" s="9" t="s">
        <v>18</v>
      </c>
      <c r="C8" s="14" t="s">
        <v>19</v>
      </c>
      <c r="D8" s="14"/>
      <c r="E8" s="14"/>
      <c r="F8" s="14"/>
      <c r="G8" s="14"/>
      <c r="H8" s="14"/>
      <c r="I8" s="14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</row>
    <row r="9" s="2" customFormat="true" ht="32.8" hidden="false" customHeight="true" outlineLevel="0" collapsed="false">
      <c r="A9" s="9" t="s">
        <v>20</v>
      </c>
      <c r="B9" s="16" t="s">
        <v>21</v>
      </c>
      <c r="C9" s="16"/>
      <c r="D9" s="16"/>
      <c r="E9" s="16"/>
      <c r="F9" s="16"/>
      <c r="G9" s="16"/>
      <c r="H9" s="16"/>
      <c r="I9" s="16"/>
    </row>
    <row r="10" s="1" customFormat="true" ht="17.15" hidden="false" customHeight="false" outlineLevel="0" collapsed="false">
      <c r="A10" s="17" t="s">
        <v>22</v>
      </c>
      <c r="B10" s="17"/>
      <c r="C10" s="17"/>
      <c r="D10" s="17"/>
      <c r="E10" s="17"/>
      <c r="F10" s="17"/>
      <c r="G10" s="17"/>
      <c r="H10" s="17"/>
      <c r="I10" s="17"/>
    </row>
    <row r="11" s="1" customFormat="true" ht="17.15" hidden="false" customHeight="false" outlineLevel="0" collapsed="false">
      <c r="A11" s="18" t="s">
        <v>23</v>
      </c>
      <c r="B11" s="18"/>
      <c r="C11" s="18" t="s">
        <v>24</v>
      </c>
      <c r="D11" s="18" t="s">
        <v>7</v>
      </c>
      <c r="E11" s="19" t="s">
        <v>25</v>
      </c>
      <c r="F11" s="19" t="s">
        <v>26</v>
      </c>
      <c r="G11" s="19" t="s">
        <v>27</v>
      </c>
      <c r="H11" s="17" t="s">
        <v>28</v>
      </c>
      <c r="I11" s="18" t="s">
        <v>29</v>
      </c>
    </row>
    <row r="12" s="1" customFormat="true" ht="17.15" hidden="false" customHeight="true" outlineLevel="0" collapsed="false">
      <c r="A12" s="20" t="s">
        <v>30</v>
      </c>
      <c r="B12" s="20"/>
      <c r="C12" s="21" t="s">
        <v>31</v>
      </c>
      <c r="D12" s="22" t="s">
        <v>32</v>
      </c>
      <c r="E12" s="23" t="n">
        <v>22.839</v>
      </c>
      <c r="F12" s="24" t="n">
        <v>0.997</v>
      </c>
      <c r="G12" s="25" t="n">
        <v>50</v>
      </c>
      <c r="H12" s="26" t="s">
        <v>33</v>
      </c>
      <c r="I12" s="27" t="s">
        <v>34</v>
      </c>
    </row>
    <row r="13" s="1" customFormat="true" ht="17.15" hidden="false" customHeight="false" outlineLevel="0" collapsed="false">
      <c r="A13" s="20"/>
      <c r="B13" s="20"/>
      <c r="C13" s="21"/>
      <c r="D13" s="22"/>
      <c r="E13" s="23" t="n">
        <v>22.69</v>
      </c>
      <c r="F13" s="24" t="n">
        <v>0.997</v>
      </c>
      <c r="G13" s="25" t="n">
        <v>50</v>
      </c>
      <c r="H13" s="26" t="s">
        <v>33</v>
      </c>
      <c r="I13" s="27" t="s">
        <v>35</v>
      </c>
    </row>
    <row r="14" s="1" customFormat="true" ht="17.15" hidden="false" customHeight="true" outlineLevel="0" collapsed="false">
      <c r="A14" s="28" t="s">
        <v>36</v>
      </c>
      <c r="B14" s="28"/>
      <c r="C14" s="29" t="s">
        <v>37</v>
      </c>
      <c r="D14" s="22" t="s">
        <v>38</v>
      </c>
      <c r="E14" s="23" t="n">
        <v>4.011</v>
      </c>
      <c r="F14" s="30" t="n">
        <v>1</v>
      </c>
      <c r="G14" s="22" t="n">
        <v>10</v>
      </c>
      <c r="H14" s="26" t="s">
        <v>33</v>
      </c>
      <c r="I14" s="8" t="s">
        <v>39</v>
      </c>
      <c r="J14" s="2"/>
    </row>
    <row r="15" s="2" customFormat="true" ht="17.15" hidden="false" customHeight="true" outlineLevel="0" collapsed="false">
      <c r="A15" s="31" t="s">
        <v>40</v>
      </c>
      <c r="B15" s="31"/>
      <c r="C15" s="31"/>
      <c r="D15" s="31"/>
      <c r="E15" s="31"/>
      <c r="F15" s="31"/>
      <c r="G15" s="31"/>
      <c r="H15" s="31"/>
      <c r="I15" s="31"/>
    </row>
    <row r="16" s="2" customFormat="true" ht="17.15" hidden="false" customHeight="true" outlineLevel="0" collapsed="false">
      <c r="A16" s="31" t="s">
        <v>41</v>
      </c>
      <c r="B16" s="31"/>
      <c r="C16" s="32" t="n">
        <v>1</v>
      </c>
      <c r="D16" s="32" t="n">
        <v>2</v>
      </c>
      <c r="E16" s="32" t="n">
        <v>3</v>
      </c>
      <c r="F16" s="32" t="n">
        <v>4</v>
      </c>
      <c r="G16" s="32" t="n">
        <v>5</v>
      </c>
      <c r="H16" s="32" t="n">
        <v>6</v>
      </c>
      <c r="I16" s="33" t="s">
        <v>42</v>
      </c>
    </row>
    <row r="17" s="2" customFormat="true" ht="17.15" hidden="false" customHeight="true" outlineLevel="0" collapsed="false">
      <c r="A17" s="31" t="s">
        <v>43</v>
      </c>
      <c r="B17" s="31"/>
      <c r="C17" s="34" t="n">
        <v>157.3193</v>
      </c>
      <c r="D17" s="34" t="n">
        <v>156.2687</v>
      </c>
      <c r="E17" s="34" t="n">
        <v>155.8845</v>
      </c>
      <c r="F17" s="34" t="n">
        <v>154.8166</v>
      </c>
      <c r="G17" s="34" t="n">
        <v>154.182</v>
      </c>
      <c r="H17" s="34" t="n">
        <v>153.6038</v>
      </c>
      <c r="I17" s="35" t="n">
        <f aca="false">ROUNDUP(STDEV(C17:H17)/AVERAGE(C17:H17)*100,IF(STDEV(C17:H17)/AVERAGE(C17:H17)*100&lt;0.0001,6,IF(STDEV(C17:H17)/AVERAGE(C17:H17)*100&lt;0.001,5,IF(STDEV(C17:H17)/AVERAGE(C17:H17)*100&lt;0.01,4,IF(STDEV(C17:H17)/AVERAGE(C17:H17)*100&lt;0.1,3,2)))))</f>
        <v>0.9</v>
      </c>
    </row>
    <row r="18" s="2" customFormat="true" ht="17.15" hidden="false" customHeight="true" outlineLevel="0" collapsed="false">
      <c r="A18" s="31" t="s">
        <v>44</v>
      </c>
      <c r="B18" s="31"/>
      <c r="C18" s="31"/>
      <c r="D18" s="31"/>
      <c r="E18" s="31"/>
      <c r="F18" s="31"/>
      <c r="G18" s="31"/>
      <c r="H18" s="31"/>
      <c r="I18" s="31"/>
    </row>
    <row r="19" s="2" customFormat="true" ht="17.15" hidden="false" customHeight="true" outlineLevel="0" collapsed="false">
      <c r="A19" s="31" t="s">
        <v>41</v>
      </c>
      <c r="B19" s="31"/>
      <c r="C19" s="13" t="n">
        <v>7</v>
      </c>
      <c r="D19" s="13" t="n">
        <v>8</v>
      </c>
      <c r="E19" s="13" t="n">
        <v>9</v>
      </c>
      <c r="F19" s="13" t="n">
        <v>10</v>
      </c>
      <c r="G19" s="13" t="n">
        <v>11</v>
      </c>
      <c r="H19" s="13" t="n">
        <v>12</v>
      </c>
      <c r="I19" s="13" t="n">
        <v>13</v>
      </c>
      <c r="J19" s="1"/>
      <c r="M19" s="1"/>
      <c r="N19" s="1"/>
      <c r="O19" s="1"/>
      <c r="P19" s="1"/>
      <c r="Q19" s="1"/>
    </row>
    <row r="20" s="2" customFormat="true" ht="17.15" hidden="false" customHeight="true" outlineLevel="0" collapsed="false">
      <c r="A20" s="31" t="s">
        <v>43</v>
      </c>
      <c r="B20" s="31"/>
      <c r="C20" s="34" t="n">
        <v>154.7654</v>
      </c>
      <c r="D20" s="36" t="n">
        <v>154.56</v>
      </c>
      <c r="E20" s="34"/>
      <c r="F20" s="34"/>
      <c r="G20" s="34"/>
      <c r="H20" s="37"/>
      <c r="I20" s="34"/>
      <c r="J20" s="1"/>
      <c r="K20" s="1"/>
      <c r="M20" s="1"/>
      <c r="N20" s="1"/>
      <c r="O20" s="1"/>
      <c r="P20" s="1"/>
      <c r="Q20" s="1"/>
    </row>
    <row r="21" s="2" customFormat="true" ht="17.15" hidden="false" customHeight="false" outlineLevel="0" collapsed="false">
      <c r="A21" s="38" t="s">
        <v>42</v>
      </c>
      <c r="B21" s="38"/>
      <c r="C21" s="39" t="n">
        <f aca="false">IF(ISBLANK(C20),"N/A",ROUNDUP(STDEV($C$17:$H$17,C20)/AVERAGE($C$17:$H$17,C20)*100,IF(STDEV($C$17:$H$17,C20)/AVERAGE($C$17:$H$17,C20)*100&lt;0.0001,6,IF(STDEV($C$17:$H$17,C20)/AVERAGE($C$17:$H$17,C20)*100&lt;0.001,5,IF(STDEV($C$17:$H$17,C20)/AVERAGE($C$17:$H$17,C20)*100&lt;0.01,4,IF(STDEV($C$17:$H$17,C20)/AVERAGE($C$17:$H$17,C20)*100&lt;0.1,3,IF(STDEV($C$17:$H$17,C20)/AVERAGE($C$17:$H$17,C20)*100&lt;0.01,3,IF(STDEV($C$17:$H$17,C20)/AVERAGE($C$17:$H$17,C20)*100&lt;1,2,1))))))))</f>
        <v>0.84</v>
      </c>
      <c r="D21" s="39" t="n">
        <f aca="false">IF(ISBLANK(D20),"N/A",ROUNDUP(STDEV($C$17:$H$17,D20)/AVERAGE($C$17:$H$17,D20)*100,IF(STDEV($C$17:$H$17,D20)/AVERAGE($C$17:$H$17,D20)*100&lt;0.0001,6,IF(STDEV($C$17:$H$17,D20)/AVERAGE($C$17:$H$17,D20)*100&lt;0.001,5,IF(STDEV($C$17:$H$17,D20)/AVERAGE($C$17:$H$17,D20)*100&lt;0.01,4,IF(STDEV($C$17:$H$17,D20)/AVERAGE($C$17:$H$17,D20)*100&lt;0.1,3,IF(STDEV($C$17:$H$17,D20)/AVERAGE($C$17:$H$17,D20)*100&lt;0.01,3,IF(STDEV($C$17:$H$17,D20)/AVERAGE($C$17:$H$17,D20)*100&lt;1,2,1))))))))</f>
        <v>0.85</v>
      </c>
      <c r="E21" s="39" t="str">
        <f aca="false">IF(ISBLANK(E20),"N/A",ROUNDUP(STDEV($C$17:$H$17,E20)/AVERAGE($C$17:$H$17,E20)*100,IF(STDEV($C$17:$H$17,E20)/AVERAGE($C$17:$H$17,E20)*100&lt;0.0001,6,IF(STDEV($C$17:$H$17,E20)/AVERAGE($C$17:$H$17,E20)*100&lt;0.001,5,IF(STDEV($C$17:$H$17,E20)/AVERAGE($C$17:$H$17,E20)*100&lt;0.01,4,IF(STDEV($C$17:$H$17,E20)/AVERAGE($C$17:$H$17,E20)*100&lt;0.1,3,IF(STDEV($C$17:$H$17,E20)/AVERAGE($C$17:$H$17,E20)*100&lt;0.01,3,IF(STDEV($C$17:$H$17,E20)/AVERAGE($C$17:$H$17,E20)*100&lt;1,2,1))))))))</f>
        <v>N/A</v>
      </c>
      <c r="F21" s="39" t="str">
        <f aca="false">IF(ISBLANK(F20),"N/A",ROUNDUP(STDEV($C$17:$H$17,F20)/AVERAGE($C$17:$H$17,F20)*100,IF(STDEV($C$17:$H$17,F20)/AVERAGE($C$17:$H$17,F20)*100&lt;0.0001,6,IF(STDEV($C$17:$H$17,F20)/AVERAGE($C$17:$H$17,F20)*100&lt;0.001,5,IF(STDEV($C$17:$H$17,F20)/AVERAGE($C$17:$H$17,F20)*100&lt;0.01,4,IF(STDEV($C$17:$H$17,F20)/AVERAGE($C$17:$H$17,F20)*100&lt;0.1,3,IF(STDEV($C$17:$H$17,F20)/AVERAGE($C$17:$H$17,F20)*100&lt;0.01,3,IF(STDEV($C$17:$H$17,F20)/AVERAGE($C$17:$H$17,F20)*100&lt;1,2,1))))))))</f>
        <v>N/A</v>
      </c>
      <c r="G21" s="39" t="str">
        <f aca="false">IF(ISBLANK(G20),"N/A",ROUNDUP(STDEV($C$17:$H$17,G20)/AVERAGE($C$17:$H$17,G20)*100,IF(STDEV($C$17:$H$17,G20)/AVERAGE($C$17:$H$17,G20)*100&lt;0.0001,6,IF(STDEV($C$17:$H$17,G20)/AVERAGE($C$17:$H$17,G20)*100&lt;0.001,5,IF(STDEV($C$17:$H$17,G20)/AVERAGE($C$17:$H$17,G20)*100&lt;0.01,4,IF(STDEV($C$17:$H$17,G20)/AVERAGE($C$17:$H$17,G20)*100&lt;0.1,3,IF(STDEV($C$17:$H$17,G20)/AVERAGE($C$17:$H$17,G20)*100&lt;0.01,3,IF(STDEV($C$17:$H$17,G20)/AVERAGE($C$17:$H$17,G20)*100&lt;1,2,1))))))))</f>
        <v>N/A</v>
      </c>
      <c r="H21" s="39" t="str">
        <f aca="false">IF(ISBLANK(H20),"N/A",ROUNDUP(STDEV($C$17:$H$17,H20)/AVERAGE($C$17:$H$17,H20)*100,IF(STDEV($C$17:$H$17,H20)/AVERAGE($C$17:$H$17,H20)*100&lt;0.0001,6,IF(STDEV($C$17:$H$17,H20)/AVERAGE($C$17:$H$17,H20)*100&lt;0.001,5,IF(STDEV($C$17:$H$17,H20)/AVERAGE($C$17:$H$17,H20)*100&lt;0.01,4,IF(STDEV($C$17:$H$17,H20)/AVERAGE($C$17:$H$17,H20)*100&lt;0.1,3,IF(STDEV($C$17:$H$17,H20)/AVERAGE($C$17:$H$17,H20)*100&lt;0.01,3,IF(STDEV($C$17:$H$17,H20)/AVERAGE($C$17:$H$17,H20)*100&lt;1,2,1))))))))</f>
        <v>N/A</v>
      </c>
      <c r="I21" s="39" t="str">
        <f aca="false">IF(ISBLANK(I20),"N/A",ROUNDUP(STDEV($C$17:$H$17,I20)/AVERAGE($C$17:$H$17,I20)*100,IF(STDEV($C$17:$H$17,I20)/AVERAGE($C$17:$H$17,I20)*100&lt;0.0001,6,IF(STDEV($C$17:$H$17,I20)/AVERAGE($C$17:$H$17,I20)*100&lt;0.001,5,IF(STDEV($C$17:$H$17,I20)/AVERAGE($C$17:$H$17,I20)*100&lt;0.01,4,IF(STDEV($C$17:$H$17,I20)/AVERAGE($C$17:$H$17,I20)*100&lt;0.1,3,IF(STDEV($C$17:$H$17,I20)/AVERAGE($C$17:$H$17,I20)*100&lt;0.01,3,IF(STDEV($C$17:$H$17,I20)/AVERAGE($C$17:$H$17,I20)*100&lt;1,2,1))))))))</f>
        <v>N/A</v>
      </c>
      <c r="J21" s="1"/>
      <c r="K21" s="1"/>
      <c r="M21" s="1"/>
      <c r="N21" s="1"/>
      <c r="O21" s="1"/>
      <c r="P21" s="1"/>
      <c r="Q21" s="1"/>
    </row>
    <row r="22" s="2" customFormat="true" ht="17.15" hidden="false" customHeight="true" outlineLevel="0" collapsed="false">
      <c r="A22" s="31" t="s">
        <v>41</v>
      </c>
      <c r="B22" s="31"/>
      <c r="C22" s="13" t="n">
        <v>14</v>
      </c>
      <c r="D22" s="13" t="n">
        <v>15</v>
      </c>
      <c r="E22" s="13" t="n">
        <v>16</v>
      </c>
      <c r="F22" s="13" t="n">
        <v>17</v>
      </c>
      <c r="G22" s="13" t="n">
        <v>18</v>
      </c>
      <c r="H22" s="13" t="n">
        <v>19</v>
      </c>
      <c r="I22" s="13" t="n">
        <v>20</v>
      </c>
      <c r="J22" s="1"/>
      <c r="K22" s="1"/>
      <c r="M22" s="1"/>
      <c r="N22" s="1"/>
      <c r="O22" s="1"/>
      <c r="P22" s="1"/>
      <c r="Q22" s="1"/>
    </row>
    <row r="23" s="2" customFormat="true" ht="17.15" hidden="false" customHeight="true" outlineLevel="0" collapsed="false">
      <c r="A23" s="31" t="s">
        <v>43</v>
      </c>
      <c r="B23" s="31"/>
      <c r="C23" s="40"/>
      <c r="D23" s="40"/>
      <c r="E23" s="40"/>
      <c r="F23" s="40"/>
      <c r="G23" s="40"/>
      <c r="H23" s="40"/>
      <c r="I23" s="40"/>
      <c r="J23" s="1"/>
      <c r="K23" s="1"/>
      <c r="M23" s="1"/>
      <c r="N23" s="1"/>
      <c r="O23" s="1"/>
      <c r="P23" s="1"/>
      <c r="Q23" s="1"/>
    </row>
    <row r="24" s="2" customFormat="true" ht="17.15" hidden="false" customHeight="false" outlineLevel="0" collapsed="false">
      <c r="A24" s="38" t="s">
        <v>42</v>
      </c>
      <c r="B24" s="38"/>
      <c r="C24" s="39" t="str">
        <f aca="false">IF(ISBLANK(C23),"N/A",ROUNDUP(STDEV($C$17:$H$17,C23)/AVERAGE($C$17:$H$17,C23)*100,IF(STDEV($C$17:$H$17,C23)/AVERAGE($C$17:$H$17,C23)*100&lt;0.0001,6,IF(STDEV($C$17:$H$17,C23)/AVERAGE($C$17:$H$17,C23)*100&lt;0.001,5,IF(STDEV($C$17:$H$17,C23)/AVERAGE($C$17:$H$17,C23)*100&lt;0.01,4,IF(STDEV($C$17:$H$17,C23)/AVERAGE($C$17:$H$17,C23)*100&lt;0.1,3,IF(STDEV($C$17:$H$17,C23)/AVERAGE($C$17:$H$17,C23)*100&lt;0.01,3,IF(STDEV($C$17:$H$17,C23)/AVERAGE($C$17:$H$17,C23)*100&lt;1,2,1))))))))</f>
        <v>N/A</v>
      </c>
      <c r="D24" s="39" t="str">
        <f aca="false">IF(ISBLANK(D23),"N/A",ROUNDUP(STDEV($C$17:$H$17,D23)/AVERAGE($C$17:$H$17,D23)*100,IF(STDEV($C$17:$H$17,D23)/AVERAGE($C$17:$H$17,D23)*100&lt;0.0001,6,IF(STDEV($C$17:$H$17,D23)/AVERAGE($C$17:$H$17,D23)*100&lt;0.001,5,IF(STDEV($C$17:$H$17,D23)/AVERAGE($C$17:$H$17,D23)*100&lt;0.01,4,IF(STDEV($C$17:$H$17,D23)/AVERAGE($C$17:$H$17,D23)*100&lt;0.1,3,IF(STDEV($C$17:$H$17,D23)/AVERAGE($C$17:$H$17,D23)*100&lt;0.01,3,IF(STDEV($C$17:$H$17,D23)/AVERAGE($C$17:$H$17,D23)*100&lt;1,2,1))))))))</f>
        <v>N/A</v>
      </c>
      <c r="E24" s="39" t="str">
        <f aca="false">IF(ISBLANK(E23),"N/A",ROUNDUP(STDEV($C$17:$H$17,E23)/AVERAGE($C$17:$H$17,E23)*100,IF(STDEV($C$17:$H$17,E23)/AVERAGE($C$17:$H$17,E23)*100&lt;0.0001,6,IF(STDEV($C$17:$H$17,E23)/AVERAGE($C$17:$H$17,E23)*100&lt;0.001,5,IF(STDEV($C$17:$H$17,E23)/AVERAGE($C$17:$H$17,E23)*100&lt;0.01,4,IF(STDEV($C$17:$H$17,E23)/AVERAGE($C$17:$H$17,E23)*100&lt;0.1,3,IF(STDEV($C$17:$H$17,E23)/AVERAGE($C$17:$H$17,E23)*100&lt;0.01,3,IF(STDEV($C$17:$H$17,E23)/AVERAGE($C$17:$H$17,E23)*100&lt;1,2,1))))))))</f>
        <v>N/A</v>
      </c>
      <c r="F24" s="39" t="str">
        <f aca="false">IF(ISBLANK(F23),"N/A",ROUNDUP(STDEV($C$17:$H$17,F23)/AVERAGE($C$17:$H$17,F23)*100,IF(STDEV($C$17:$H$17,F23)/AVERAGE($C$17:$H$17,F23)*100&lt;0.0001,6,IF(STDEV($C$17:$H$17,F23)/AVERAGE($C$17:$H$17,F23)*100&lt;0.001,5,IF(STDEV($C$17:$H$17,F23)/AVERAGE($C$17:$H$17,F23)*100&lt;0.01,4,IF(STDEV($C$17:$H$17,F23)/AVERAGE($C$17:$H$17,F23)*100&lt;0.1,3,IF(STDEV($C$17:$H$17,F23)/AVERAGE($C$17:$H$17,F23)*100&lt;0.01,3,IF(STDEV($C$17:$H$17,F23)/AVERAGE($C$17:$H$17,F23)*100&lt;1,2,1))))))))</f>
        <v>N/A</v>
      </c>
      <c r="G24" s="39" t="str">
        <f aca="false">IF(ISBLANK(G23),"N/A",ROUNDUP(STDEV($C$17:$H$17,G23)/AVERAGE($C$17:$H$17,G23)*100,IF(STDEV($C$17:$H$17,G23)/AVERAGE($C$17:$H$17,G23)*100&lt;0.0001,6,IF(STDEV($C$17:$H$17,G23)/AVERAGE($C$17:$H$17,G23)*100&lt;0.001,5,IF(STDEV($C$17:$H$17,G23)/AVERAGE($C$17:$H$17,G23)*100&lt;0.01,4,IF(STDEV($C$17:$H$17,G23)/AVERAGE($C$17:$H$17,G23)*100&lt;0.1,3,IF(STDEV($C$17:$H$17,G23)/AVERAGE($C$17:$H$17,G23)*100&lt;0.01,3,IF(STDEV($C$17:$H$17,G23)/AVERAGE($C$17:$H$17,G23)*100&lt;1,2,1))))))))</f>
        <v>N/A</v>
      </c>
      <c r="H24" s="39" t="str">
        <f aca="false">IF(ISBLANK(H23),"N/A",ROUNDUP(STDEV($C$17:$H$17,H23)/AVERAGE($C$17:$H$17,H23)*100,IF(STDEV($C$17:$H$17,H23)/AVERAGE($C$17:$H$17,H23)*100&lt;0.0001,6,IF(STDEV($C$17:$H$17,H23)/AVERAGE($C$17:$H$17,H23)*100&lt;0.001,5,IF(STDEV($C$17:$H$17,H23)/AVERAGE($C$17:$H$17,H23)*100&lt;0.01,4,IF(STDEV($C$17:$H$17,H23)/AVERAGE($C$17:$H$17,H23)*100&lt;0.1,3,IF(STDEV($C$17:$H$17,H23)/AVERAGE($C$17:$H$17,H23)*100&lt;0.01,3,IF(STDEV($C$17:$H$17,H23)/AVERAGE($C$17:$H$17,H23)*100&lt;1,2,1))))))))</f>
        <v>N/A</v>
      </c>
      <c r="I24" s="39" t="str">
        <f aca="false">IF(ISBLANK(I23),"N/A",ROUNDUP(STDEV($C$17:$H$17,I23)/AVERAGE($C$17:$H$17,I23)*100,IF(STDEV($C$17:$H$17,I23)/AVERAGE($C$17:$H$17,I23)*100&lt;0.0001,6,IF(STDEV($C$17:$H$17,I23)/AVERAGE($C$17:$H$17,I23)*100&lt;0.001,5,IF(STDEV($C$17:$H$17,I23)/AVERAGE($C$17:$H$17,I23)*100&lt;0.01,4,IF(STDEV($C$17:$H$17,I23)/AVERAGE($C$17:$H$17,I23)*100&lt;0.1,3,IF(STDEV($C$17:$H$17,I23)/AVERAGE($C$17:$H$17,I23)*100&lt;0.01,3,IF(STDEV($C$17:$H$17,I23)/AVERAGE($C$17:$H$17,I23)*100&lt;1,2,1))))))))</f>
        <v>N/A</v>
      </c>
      <c r="J24" s="1"/>
      <c r="K24" s="1"/>
      <c r="M24" s="1"/>
      <c r="N24" s="1"/>
      <c r="O24" s="1"/>
      <c r="P24" s="1"/>
      <c r="Q24" s="1"/>
    </row>
    <row r="25" s="2" customFormat="true" ht="17.15" hidden="false" customHeight="true" outlineLevel="0" collapsed="false">
      <c r="A25" s="31" t="s">
        <v>45</v>
      </c>
      <c r="B25" s="31"/>
      <c r="C25" s="31"/>
      <c r="D25" s="31"/>
      <c r="E25" s="31"/>
      <c r="F25" s="41"/>
      <c r="G25" s="41"/>
      <c r="H25" s="41"/>
      <c r="I25" s="41"/>
      <c r="K25" s="1"/>
    </row>
    <row r="26" s="2" customFormat="true" ht="32.8" hidden="false" customHeight="false" outlineLevel="0" collapsed="false">
      <c r="A26" s="42" t="s">
        <v>46</v>
      </c>
      <c r="B26" s="42"/>
      <c r="C26" s="43" t="s">
        <v>47</v>
      </c>
      <c r="D26" s="43" t="s">
        <v>48</v>
      </c>
      <c r="E26" s="43" t="s">
        <v>49</v>
      </c>
      <c r="F26" s="41"/>
      <c r="G26" s="41"/>
      <c r="H26" s="41"/>
      <c r="I26" s="41"/>
      <c r="K26" s="1"/>
    </row>
    <row r="27" s="2" customFormat="true" ht="13.8" hidden="false" customHeight="false" outlineLevel="0" collapsed="false">
      <c r="A27" s="44" t="str">
        <f aca="false">B31</f>
        <v>LMS002-26040105 （复测）</v>
      </c>
      <c r="B27" s="44"/>
      <c r="C27" s="44" t="n">
        <v>14.77</v>
      </c>
      <c r="D27" s="34" t="n">
        <v>0.0848</v>
      </c>
      <c r="E27" s="45" t="n">
        <v>23.6</v>
      </c>
      <c r="F27" s="41"/>
      <c r="G27" s="41"/>
      <c r="H27" s="41"/>
      <c r="I27" s="41"/>
      <c r="K27" s="1"/>
    </row>
    <row r="28" s="2" customFormat="true" ht="13.8" hidden="false" customHeight="false" outlineLevel="0" collapsed="false">
      <c r="A28" s="46"/>
      <c r="B28" s="47"/>
      <c r="C28" s="47"/>
      <c r="D28" s="48"/>
      <c r="E28" s="1"/>
      <c r="F28" s="49"/>
      <c r="G28" s="50"/>
      <c r="H28" s="51"/>
      <c r="I28" s="1"/>
    </row>
    <row r="30" customFormat="false" ht="13.8" hidden="false" customHeight="false" outlineLevel="0" collapsed="false">
      <c r="D30" s="2"/>
    </row>
    <row r="31" customFormat="false" ht="16.65" hidden="false" customHeight="false" outlineLevel="0" collapsed="false">
      <c r="A31" s="42" t="s">
        <v>50</v>
      </c>
      <c r="B31" s="22" t="s">
        <v>51</v>
      </c>
      <c r="C31" s="22"/>
      <c r="D31" s="22"/>
      <c r="E31" s="22"/>
      <c r="F31" s="22"/>
      <c r="G31" s="22"/>
      <c r="H31" s="42" t="s">
        <v>50</v>
      </c>
      <c r="I31" s="22" t="s">
        <v>52</v>
      </c>
      <c r="J31" s="22"/>
      <c r="K31" s="22"/>
      <c r="L31" s="22"/>
      <c r="M31" s="22"/>
      <c r="N31" s="22"/>
      <c r="IJ31" s="1"/>
    </row>
    <row r="32" customFormat="false" ht="43.5" hidden="false" customHeight="true" outlineLevel="0" collapsed="false">
      <c r="A32" s="52" t="s">
        <v>23</v>
      </c>
      <c r="B32" s="53" t="s">
        <v>53</v>
      </c>
      <c r="C32" s="53" t="s">
        <v>54</v>
      </c>
      <c r="D32" s="43" t="s">
        <v>55</v>
      </c>
      <c r="E32" s="54" t="s">
        <v>48</v>
      </c>
      <c r="F32" s="52" t="s">
        <v>56</v>
      </c>
      <c r="G32" s="52"/>
      <c r="H32" s="52" t="s">
        <v>23</v>
      </c>
      <c r="I32" s="52" t="s">
        <v>53</v>
      </c>
      <c r="J32" s="52" t="s">
        <v>54</v>
      </c>
      <c r="K32" s="43" t="s">
        <v>55</v>
      </c>
      <c r="L32" s="43" t="s">
        <v>48</v>
      </c>
      <c r="M32" s="52" t="s">
        <v>56</v>
      </c>
      <c r="N32" s="52"/>
      <c r="IJ32" s="1"/>
      <c r="IK32" s="1"/>
      <c r="IL32" s="1"/>
    </row>
    <row r="33" customFormat="false" ht="17.15" hidden="false" customHeight="false" outlineLevel="0" collapsed="false">
      <c r="A33" s="55" t="s">
        <v>57</v>
      </c>
      <c r="B33" s="56" t="s">
        <v>58</v>
      </c>
      <c r="C33" s="57" t="n">
        <f aca="false">D33/$D$33</f>
        <v>1</v>
      </c>
      <c r="D33" s="44" t="n">
        <v>14.8</v>
      </c>
      <c r="E33" s="34" t="n">
        <v>0.1655</v>
      </c>
      <c r="F33" s="38" t="n">
        <f aca="false">100/0.1</f>
        <v>1000</v>
      </c>
      <c r="G33" s="38"/>
      <c r="H33" s="55" t="s">
        <v>57</v>
      </c>
      <c r="I33" s="56" t="s">
        <v>58</v>
      </c>
      <c r="J33" s="57" t="n">
        <f aca="false">K33/$K$33</f>
        <v>1</v>
      </c>
      <c r="K33" s="44" t="n">
        <v>14.783</v>
      </c>
      <c r="L33" s="34" t="n">
        <v>0.1518</v>
      </c>
      <c r="M33" s="38" t="n">
        <f aca="false">100/0.1</f>
        <v>1000</v>
      </c>
      <c r="N33" s="38"/>
      <c r="IJ33" s="1"/>
      <c r="IK33" s="1"/>
      <c r="IL33" s="1"/>
    </row>
    <row r="34" customFormat="false" ht="32.8" hidden="false" customHeight="false" outlineLevel="0" collapsed="false">
      <c r="A34" s="52" t="s">
        <v>23</v>
      </c>
      <c r="B34" s="52" t="s">
        <v>59</v>
      </c>
      <c r="C34" s="53" t="s">
        <v>54</v>
      </c>
      <c r="D34" s="43" t="s">
        <v>55</v>
      </c>
      <c r="E34" s="43" t="s">
        <v>48</v>
      </c>
      <c r="F34" s="52" t="s">
        <v>60</v>
      </c>
      <c r="G34" s="52" t="s">
        <v>61</v>
      </c>
      <c r="H34" s="52" t="s">
        <v>23</v>
      </c>
      <c r="I34" s="52" t="s">
        <v>59</v>
      </c>
      <c r="J34" s="53" t="s">
        <v>54</v>
      </c>
      <c r="K34" s="43" t="s">
        <v>55</v>
      </c>
      <c r="L34" s="43" t="s">
        <v>48</v>
      </c>
      <c r="M34" s="52" t="s">
        <v>60</v>
      </c>
      <c r="N34" s="52" t="s">
        <v>61</v>
      </c>
      <c r="IJ34" s="1"/>
      <c r="IK34" s="1"/>
      <c r="IL34" s="1"/>
    </row>
    <row r="35" customFormat="false" ht="17.15" hidden="false" customHeight="false" outlineLevel="0" collapsed="false">
      <c r="A35" s="58" t="s">
        <v>62</v>
      </c>
      <c r="B35" s="55" t="s">
        <v>63</v>
      </c>
      <c r="C35" s="57" t="n">
        <f aca="false">tranvalue(D35/$D$33,2)</f>
        <v>1.08</v>
      </c>
      <c r="D35" s="44" t="n">
        <v>15.983</v>
      </c>
      <c r="E35" s="34" t="n">
        <v>0.0493</v>
      </c>
      <c r="F35" s="59" t="n">
        <f aca="false">IF(E35="n.a.","n.a.",tranvalue(E35/($E$33*$F$33)*100,IF(E35/($E$33*$F$33)*100&lt;0.0001,5,IF(E35/($E$33*$F$33)*100&lt;0.001,4,IF(E35/($E$33*$F$33)*100&lt;0.01,3,IF(E35/($E$33*$F$33)*100&lt;0.1,2,IF(E35/($E$33*$F$33)*100&lt;1,1,0)))))))</f>
        <v>0.03</v>
      </c>
      <c r="G35" s="59" t="str">
        <f aca="false">IF(E35&lt;$D$27,"忽略不计",F35)</f>
        <v>忽略不计</v>
      </c>
      <c r="H35" s="58" t="s">
        <v>62</v>
      </c>
      <c r="I35" s="55" t="s">
        <v>63</v>
      </c>
      <c r="J35" s="57" t="n">
        <f aca="false">tranvalue(K35/$K$33,2)</f>
        <v>1.08</v>
      </c>
      <c r="K35" s="44" t="n">
        <v>15.973</v>
      </c>
      <c r="L35" s="34" t="n">
        <v>0.0404</v>
      </c>
      <c r="M35" s="59" t="n">
        <f aca="false">IF(L35="n.a.","n.a.",tranvalue(L35/($L$33*$M$33)*100,IF(L35/($L$33*$M$33)*100&lt;0.0001,5,IF(L35/($L$33*$M$33)*100&lt;0.001,4,IF(L35/($L$33*$M$33)*100&lt;0.01,3,IF(L35/($L$33*$M$33)*100&lt;0.1,2,IF(L35/($L$33*$M$33)*100&lt;1,1,0)))))))</f>
        <v>0.03</v>
      </c>
      <c r="N35" s="59" t="str">
        <f aca="false">IF(L35&lt;$D$27,"忽略不计",M35)</f>
        <v>忽略不计</v>
      </c>
      <c r="IJ35" s="1"/>
      <c r="IK35" s="1"/>
      <c r="IL35" s="1"/>
    </row>
    <row r="36" customFormat="false" ht="17.15" hidden="false" customHeight="true" outlineLevel="0" collapsed="false">
      <c r="A36" s="58" t="s">
        <v>64</v>
      </c>
      <c r="B36" s="55" t="s">
        <v>65</v>
      </c>
      <c r="C36" s="57" t="n">
        <f aca="false">tranvalue(D36/$D$33,2)</f>
        <v>0.29</v>
      </c>
      <c r="D36" s="44" t="n">
        <v>4.3</v>
      </c>
      <c r="E36" s="34" t="n">
        <v>0.0341</v>
      </c>
      <c r="F36" s="59" t="n">
        <f aca="false">IF(E36="n.a.","n.a.",tranvalue(E36/($E$33*$F$33)*100,IF(E36/($E$33*$F$33)*100&lt;0.0001,5,IF(E36/($E$33*$F$33)*100&lt;0.001,4,IF(E36/($E$33*$F$33)*100&lt;0.01,3,IF(E36/($E$33*$F$33)*100&lt;0.1,2,IF(E36/($E$33*$F$33)*100&lt;1,1,0)))))))</f>
        <v>0.02</v>
      </c>
      <c r="G36" s="59" t="str">
        <f aca="false">IF(E36&lt;$D$27,"忽略不计",F36)</f>
        <v>忽略不计</v>
      </c>
      <c r="H36" s="58" t="s">
        <v>64</v>
      </c>
      <c r="I36" s="55" t="s">
        <v>65</v>
      </c>
      <c r="J36" s="57" t="n">
        <f aca="false">tranvalue(K36/$K$33,2)</f>
        <v>0.29</v>
      </c>
      <c r="K36" s="44" t="n">
        <v>4.303</v>
      </c>
      <c r="L36" s="34" t="n">
        <v>0.0354</v>
      </c>
      <c r="M36" s="59" t="n">
        <f aca="false">IF(L36="n.a.","n.a.",tranvalue(L36/($L$33*$M$33)*100,IF(L36/($L$33*$M$33)*100&lt;0.0001,5,IF(L36/($L$33*$M$33)*100&lt;0.001,4,IF(L36/($L$33*$M$33)*100&lt;0.01,3,IF(L36/($L$33*$M$33)*100&lt;0.1,2,IF(L36/($L$33*$M$33)*100&lt;1,1,0)))))))</f>
        <v>0.02</v>
      </c>
      <c r="N36" s="59" t="str">
        <f aca="false">IF(L36&lt;$D$27,"忽略不计",M36)</f>
        <v>忽略不计</v>
      </c>
      <c r="IJ36" s="1"/>
      <c r="IK36" s="1"/>
      <c r="IL36" s="1"/>
    </row>
    <row r="37" customFormat="false" ht="17.15" hidden="false" customHeight="false" outlineLevel="0" collapsed="false">
      <c r="A37" s="58"/>
      <c r="B37" s="55" t="s">
        <v>66</v>
      </c>
      <c r="C37" s="57" t="n">
        <f aca="false">tranvalue(D37/$D$33,2)</f>
        <v>0.34</v>
      </c>
      <c r="D37" s="44" t="n">
        <v>5.083</v>
      </c>
      <c r="E37" s="34" t="n">
        <v>0.0112</v>
      </c>
      <c r="F37" s="59" t="n">
        <f aca="false">IF(E37="n.a.","n.a.",tranvalue(E37/($E$33*$F$33)*100,IF(E37/($E$33*$F$33)*100&lt;0.0001,5,IF(E37/($E$33*$F$33)*100&lt;0.001,4,IF(E37/($E$33*$F$33)*100&lt;0.01,3,IF(E37/($E$33*$F$33)*100&lt;0.1,2,IF(E37/($E$33*$F$33)*100&lt;1,1,0)))))))</f>
        <v>0.007</v>
      </c>
      <c r="G37" s="59" t="str">
        <f aca="false">IF(E37&lt;$D$27,"忽略不计",F37)</f>
        <v>忽略不计</v>
      </c>
      <c r="H37" s="58"/>
      <c r="I37" s="55" t="s">
        <v>66</v>
      </c>
      <c r="J37" s="57" t="n">
        <f aca="false">tranvalue(K37/$K$33,2)</f>
        <v>0.34</v>
      </c>
      <c r="K37" s="44" t="n">
        <v>5.095</v>
      </c>
      <c r="L37" s="34" t="n">
        <v>0.0106</v>
      </c>
      <c r="M37" s="59" t="n">
        <f aca="false">IF(L37="n.a.","n.a.",tranvalue(L37/($L$33*$M$33)*100,IF(L37/($L$33*$M$33)*100&lt;0.0001,5,IF(L37/($L$33*$M$33)*100&lt;0.001,4,IF(L37/($L$33*$M$33)*100&lt;0.01,3,IF(L37/($L$33*$M$33)*100&lt;0.1,2,IF(L37/($L$33*$M$33)*100&lt;1,1,0)))))))</f>
        <v>0.007</v>
      </c>
      <c r="N37" s="59" t="str">
        <f aca="false">IF(L37&lt;$D$27,"忽略不计",M37)</f>
        <v>忽略不计</v>
      </c>
      <c r="IJ37" s="1"/>
      <c r="IK37" s="1"/>
      <c r="IL37" s="1"/>
    </row>
    <row r="38" customFormat="false" ht="17.15" hidden="false" customHeight="false" outlineLevel="0" collapsed="false">
      <c r="A38" s="58"/>
      <c r="B38" s="55" t="s">
        <v>67</v>
      </c>
      <c r="C38" s="57" t="n">
        <f aca="false">tranvalue(D38/$D$33,2)</f>
        <v>0.44</v>
      </c>
      <c r="D38" s="44" t="n">
        <v>6.528</v>
      </c>
      <c r="E38" s="34" t="n">
        <v>0.0188</v>
      </c>
      <c r="F38" s="59" t="n">
        <f aca="false">IF(E38="n.a.","n.a.",tranvalue(E38/($E$33*$F$33)*100,IF(E38/($E$33*$F$33)*100&lt;0.0001,5,IF(E38/($E$33*$F$33)*100&lt;0.001,4,IF(E38/($E$33*$F$33)*100&lt;0.01,3,IF(E38/($E$33*$F$33)*100&lt;0.1,2,IF(E38/($E$33*$F$33)*100&lt;1,1,0)))))))</f>
        <v>0.01</v>
      </c>
      <c r="G38" s="59" t="str">
        <f aca="false">IF(E38&lt;$D$27,"忽略不计",F38)</f>
        <v>忽略不计</v>
      </c>
      <c r="H38" s="58"/>
      <c r="I38" s="55" t="s">
        <v>67</v>
      </c>
      <c r="J38" s="57" t="n">
        <f aca="false">tranvalue(K38/$K$33,2)</f>
        <v>0.44</v>
      </c>
      <c r="K38" s="44" t="n">
        <v>6.522</v>
      </c>
      <c r="L38" s="34" t="n">
        <v>0.0153</v>
      </c>
      <c r="M38" s="59" t="n">
        <f aca="false">IF(L38="n.a.","n.a.",tranvalue(L38/($L$33*$M$33)*100,IF(L38/($L$33*$M$33)*100&lt;0.0001,5,IF(L38/($L$33*$M$33)*100&lt;0.001,4,IF(L38/($L$33*$M$33)*100&lt;0.01,3,IF(L38/($L$33*$M$33)*100&lt;0.1,2,IF(L38/($L$33*$M$33)*100&lt;1,1,0)))))))</f>
        <v>0.01</v>
      </c>
      <c r="N38" s="59" t="str">
        <f aca="false">IF(L38&lt;$D$27,"忽略不计",M38)</f>
        <v>忽略不计</v>
      </c>
      <c r="IJ38" s="1"/>
      <c r="IK38" s="1"/>
      <c r="IL38" s="1"/>
    </row>
    <row r="39" customFormat="false" ht="17.15" hidden="false" customHeight="false" outlineLevel="0" collapsed="false">
      <c r="A39" s="58"/>
      <c r="B39" s="55" t="s">
        <v>68</v>
      </c>
      <c r="C39" s="57" t="n">
        <f aca="false">tranvalue(D39/$D$33,2)</f>
        <v>0.65</v>
      </c>
      <c r="D39" s="44" t="n">
        <v>9.575</v>
      </c>
      <c r="E39" s="34" t="n">
        <v>0.091</v>
      </c>
      <c r="F39" s="59" t="n">
        <f aca="false">IF(E39="n.a.","n.a.",tranvalue(E39/($E$33*$F$33)*100,IF(E39/($E$33*$F$33)*100&lt;0.0001,5,IF(E39/($E$33*$F$33)*100&lt;0.001,4,IF(E39/($E$33*$F$33)*100&lt;0.01,3,IF(E39/($E$33*$F$33)*100&lt;0.1,2,IF(E39/($E$33*$F$33)*100&lt;1,1,0)))))))</f>
        <v>0.05</v>
      </c>
      <c r="G39" s="59" t="n">
        <f aca="false">IF(E39&lt;$D$27,"忽略不计",F39)</f>
        <v>0.05</v>
      </c>
      <c r="H39" s="58"/>
      <c r="I39" s="55" t="s">
        <v>68</v>
      </c>
      <c r="J39" s="57" t="n">
        <f aca="false">tranvalue(K39/$K$33,2)</f>
        <v>0.65</v>
      </c>
      <c r="K39" s="44" t="n">
        <v>9.567</v>
      </c>
      <c r="L39" s="34" t="n">
        <v>0.086</v>
      </c>
      <c r="M39" s="59" t="n">
        <f aca="false">IF(L39="n.a.","n.a.",tranvalue(L39/($L$33*$M$33)*100,IF(L39/($L$33*$M$33)*100&lt;0.0001,5,IF(L39/($L$33*$M$33)*100&lt;0.001,4,IF(L39/($L$33*$M$33)*100&lt;0.01,3,IF(L39/($L$33*$M$33)*100&lt;0.1,2,IF(L39/($L$33*$M$33)*100&lt;1,1,0)))))))</f>
        <v>0.06</v>
      </c>
      <c r="N39" s="59" t="n">
        <f aca="false">IF(L39&lt;$D$27,"忽略不计",M39)</f>
        <v>0.06</v>
      </c>
      <c r="IJ39" s="1"/>
      <c r="IK39" s="1"/>
      <c r="IL39" s="1"/>
    </row>
    <row r="40" customFormat="false" ht="17.15" hidden="false" customHeight="false" outlineLevel="0" collapsed="false">
      <c r="A40" s="58"/>
      <c r="B40" s="55" t="s">
        <v>69</v>
      </c>
      <c r="C40" s="57" t="n">
        <f aca="false">tranvalue(D40/$D$33,2)</f>
        <v>0.85</v>
      </c>
      <c r="D40" s="44" t="n">
        <v>12.517</v>
      </c>
      <c r="E40" s="34" t="n">
        <v>0.0261</v>
      </c>
      <c r="F40" s="59" t="n">
        <f aca="false">IF(E40="n.a.","n.a.",tranvalue(E40/($E$33*$F$33)*100,IF(E40/($E$33*$F$33)*100&lt;0.0001,5,IF(E40/($E$33*$F$33)*100&lt;0.001,4,IF(E40/($E$33*$F$33)*100&lt;0.01,3,IF(E40/($E$33*$F$33)*100&lt;0.1,2,IF(E40/($E$33*$F$33)*100&lt;1,1,0)))))))</f>
        <v>0.02</v>
      </c>
      <c r="G40" s="59" t="str">
        <f aca="false">IF(E40&lt;$D$27,"忽略不计",F40)</f>
        <v>忽略不计</v>
      </c>
      <c r="H40" s="58"/>
      <c r="I40" s="55" t="s">
        <v>69</v>
      </c>
      <c r="J40" s="57" t="n">
        <f aca="false">tranvalue(K40/$K$33,2)</f>
        <v>0.84</v>
      </c>
      <c r="K40" s="44" t="n">
        <v>12.488</v>
      </c>
      <c r="L40" s="34" t="n">
        <v>0.0249</v>
      </c>
      <c r="M40" s="59" t="n">
        <f aca="false">IF(L40="n.a.","n.a.",tranvalue(L40/($L$33*$M$33)*100,IF(L40/($L$33*$M$33)*100&lt;0.0001,5,IF(L40/($L$33*$M$33)*100&lt;0.001,4,IF(L40/($L$33*$M$33)*100&lt;0.01,3,IF(L40/($L$33*$M$33)*100&lt;0.1,2,IF(L40/($L$33*$M$33)*100&lt;1,1,0)))))))</f>
        <v>0.02</v>
      </c>
      <c r="N40" s="59" t="str">
        <f aca="false">IF(L40&lt;$D$27,"忽略不计",M40)</f>
        <v>忽略不计</v>
      </c>
      <c r="IJ40" s="1"/>
      <c r="IK40" s="1"/>
      <c r="IL40" s="1"/>
    </row>
    <row r="41" customFormat="false" ht="17.15" hidden="false" customHeight="false" outlineLevel="0" collapsed="false">
      <c r="A41" s="58"/>
      <c r="B41" s="55" t="s">
        <v>70</v>
      </c>
      <c r="C41" s="57" t="n">
        <f aca="false">tranvalue(D41/$D$33,2)</f>
        <v>1.65</v>
      </c>
      <c r="D41" s="44" t="n">
        <v>24.425</v>
      </c>
      <c r="E41" s="34" t="n">
        <v>0.0293</v>
      </c>
      <c r="F41" s="59" t="n">
        <f aca="false">IF(E41="n.a.","n.a.",tranvalue(E41/($E$33*$F$33)*100,IF(E41/($E$33*$F$33)*100&lt;0.0001,5,IF(E41/($E$33*$F$33)*100&lt;0.001,4,IF(E41/($E$33*$F$33)*100&lt;0.01,3,IF(E41/($E$33*$F$33)*100&lt;0.1,2,IF(E41/($E$33*$F$33)*100&lt;1,1,0)))))))</f>
        <v>0.02</v>
      </c>
      <c r="G41" s="59" t="str">
        <f aca="false">IF(E41&lt;$D$27,"忽略不计",F41)</f>
        <v>忽略不计</v>
      </c>
      <c r="H41" s="58"/>
      <c r="I41" s="55" t="s">
        <v>70</v>
      </c>
      <c r="J41" s="57" t="n">
        <f aca="false">tranvalue(K41/$K$33,2)</f>
        <v>1.65</v>
      </c>
      <c r="K41" s="44" t="n">
        <v>24.432</v>
      </c>
      <c r="L41" s="34" t="n">
        <v>0.0274</v>
      </c>
      <c r="M41" s="59" t="n">
        <f aca="false">IF(L41="n.a.","n.a.",tranvalue(L41/($L$33*$M$33)*100,IF(L41/($L$33*$M$33)*100&lt;0.0001,5,IF(L41/($L$33*$M$33)*100&lt;0.001,4,IF(L41/($L$33*$M$33)*100&lt;0.01,3,IF(L41/($L$33*$M$33)*100&lt;0.1,2,IF(L41/($L$33*$M$33)*100&lt;1,1,0)))))))</f>
        <v>0.02</v>
      </c>
      <c r="N41" s="59" t="str">
        <f aca="false">IF(L41&lt;$D$27,"忽略不计",M41)</f>
        <v>忽略不计</v>
      </c>
      <c r="IJ41" s="1"/>
      <c r="IK41" s="1"/>
      <c r="IL41" s="1"/>
    </row>
    <row r="42" customFormat="false" ht="17.15" hidden="false" customHeight="false" outlineLevel="0" collapsed="false">
      <c r="A42" s="58"/>
      <c r="B42" s="55" t="s">
        <v>71</v>
      </c>
      <c r="C42" s="57" t="n">
        <f aca="false">tranvalue(D42/$D$33,2)</f>
        <v>1.74</v>
      </c>
      <c r="D42" s="44" t="n">
        <v>25.788</v>
      </c>
      <c r="E42" s="36" t="n">
        <v>0.0311</v>
      </c>
      <c r="F42" s="59" t="n">
        <f aca="false">IF(E42="n.a.","n.a.",tranvalue(E42/($E$33*$F$33)*100,IF(E42/($E$33*$F$33)*100&lt;0.0001,5,IF(E42/($E$33*$F$33)*100&lt;0.001,4,IF(E42/($E$33*$F$33)*100&lt;0.01,3,IF(E42/($E$33*$F$33)*100&lt;0.1,2,IF(E42/($E$33*$F$33)*100&lt;1,1,0)))))))</f>
        <v>0.02</v>
      </c>
      <c r="G42" s="59" t="str">
        <f aca="false">IF(E42&lt;$D$27,"忽略不计",F42)</f>
        <v>忽略不计</v>
      </c>
      <c r="H42" s="58"/>
      <c r="I42" s="55" t="s">
        <v>71</v>
      </c>
      <c r="J42" s="57" t="n">
        <f aca="false">tranvalue(K42/$K$33,2)</f>
        <v>1.74</v>
      </c>
      <c r="K42" s="44" t="n">
        <v>25.785</v>
      </c>
      <c r="L42" s="34" t="n">
        <v>0.0279</v>
      </c>
      <c r="M42" s="59" t="n">
        <f aca="false">IF(L42="n.a.","n.a.",tranvalue(L42/($L$33*$M$33)*100,IF(L42/($L$33*$M$33)*100&lt;0.0001,5,IF(L42/($L$33*$M$33)*100&lt;0.001,4,IF(L42/($L$33*$M$33)*100&lt;0.01,3,IF(L42/($L$33*$M$33)*100&lt;0.1,2,IF(L42/($L$33*$M$33)*100&lt;1,1,0)))))))</f>
        <v>0.02</v>
      </c>
      <c r="N42" s="59" t="str">
        <f aca="false">IF(L42&lt;$D$27,"忽略不计",M42)</f>
        <v>忽略不计</v>
      </c>
      <c r="IJ42" s="1"/>
      <c r="IK42" s="1"/>
      <c r="IL42" s="1"/>
    </row>
    <row r="43" customFormat="false" ht="17.15" hidden="false" customHeight="false" outlineLevel="0" collapsed="false">
      <c r="A43" s="58"/>
      <c r="B43" s="55" t="s">
        <v>72</v>
      </c>
      <c r="C43" s="57" t="n">
        <f aca="false">tranvalue(D43/$D$33,2)</f>
        <v>1.81</v>
      </c>
      <c r="D43" s="44" t="n">
        <v>26.753</v>
      </c>
      <c r="E43" s="36" t="n">
        <v>0.0561</v>
      </c>
      <c r="F43" s="59" t="n">
        <f aca="false">IF(E43="n.a.","n.a.",tranvalue(E43/($E$33*$F$33)*100,IF(E43/($E$33*$F$33)*100&lt;0.0001,5,IF(E43/($E$33*$F$33)*100&lt;0.001,4,IF(E43/($E$33*$F$33)*100&lt;0.01,3,IF(E43/($E$33*$F$33)*100&lt;0.1,2,IF(E43/($E$33*$F$33)*100&lt;1,1,0)))))))</f>
        <v>0.03</v>
      </c>
      <c r="G43" s="59" t="str">
        <f aca="false">IF(E43&lt;$D$27,"忽略不计",F43)</f>
        <v>忽略不计</v>
      </c>
      <c r="H43" s="58"/>
      <c r="I43" s="55" t="s">
        <v>72</v>
      </c>
      <c r="J43" s="57" t="n">
        <f aca="false">tranvalue(K43/$K$33,2)</f>
        <v>1.81</v>
      </c>
      <c r="K43" s="44" t="n">
        <v>26.758</v>
      </c>
      <c r="L43" s="34" t="n">
        <v>0.0544</v>
      </c>
      <c r="M43" s="59" t="n">
        <f aca="false">IF(L43="n.a.","n.a.",tranvalue(L43/($L$33*$M$33)*100,IF(L43/($L$33*$M$33)*100&lt;0.0001,5,IF(L43/($L$33*$M$33)*100&lt;0.001,4,IF(L43/($L$33*$M$33)*100&lt;0.01,3,IF(L43/($L$33*$M$33)*100&lt;0.1,2,IF(L43/($L$33*$M$33)*100&lt;1,1,0)))))))</f>
        <v>0.04</v>
      </c>
      <c r="N43" s="59" t="str">
        <f aca="false">IF(L43&lt;$D$27,"忽略不计",M43)</f>
        <v>忽略不计</v>
      </c>
      <c r="IJ43" s="1"/>
      <c r="IK43" s="1"/>
      <c r="IL43" s="1"/>
    </row>
    <row r="44" customFormat="false" ht="17.15" hidden="false" customHeight="false" outlineLevel="0" collapsed="false">
      <c r="A44" s="58"/>
      <c r="B44" s="55" t="s">
        <v>73</v>
      </c>
      <c r="C44" s="57" t="n">
        <f aca="false">tranvalue(D44/$D$33,2)</f>
        <v>1.83</v>
      </c>
      <c r="D44" s="44" t="n">
        <v>27.143</v>
      </c>
      <c r="E44" s="36" t="n">
        <v>0.0738</v>
      </c>
      <c r="F44" s="59" t="n">
        <f aca="false">IF(E44="n.a.","n.a.",tranvalue(E44/($E$33*$F$33)*100,IF(E44/($E$33*$F$33)*100&lt;0.0001,5,IF(E44/($E$33*$F$33)*100&lt;0.001,4,IF(E44/($E$33*$F$33)*100&lt;0.01,3,IF(E44/($E$33*$F$33)*100&lt;0.1,2,IF(E44/($E$33*$F$33)*100&lt;1,1,0)))))))</f>
        <v>0.04</v>
      </c>
      <c r="G44" s="59" t="str">
        <f aca="false">IF(E44&lt;$D$27,"忽略不计",F44)</f>
        <v>忽略不计</v>
      </c>
      <c r="H44" s="58"/>
      <c r="I44" s="55" t="s">
        <v>73</v>
      </c>
      <c r="J44" s="57" t="n">
        <f aca="false">tranvalue(K44/$K$33,2)</f>
        <v>1.84</v>
      </c>
      <c r="K44" s="44" t="n">
        <v>27.143</v>
      </c>
      <c r="L44" s="36" t="n">
        <v>0.0715</v>
      </c>
      <c r="M44" s="59" t="n">
        <f aca="false">IF(L44="n.a.","n.a.",tranvalue(L44/($L$33*$M$33)*100,IF(L44/($L$33*$M$33)*100&lt;0.0001,5,IF(L44/($L$33*$M$33)*100&lt;0.001,4,IF(L44/($L$33*$M$33)*100&lt;0.01,3,IF(L44/($L$33*$M$33)*100&lt;0.1,2,IF(L44/($L$33*$M$33)*100&lt;1,1,0)))))))</f>
        <v>0.05</v>
      </c>
      <c r="N44" s="59" t="str">
        <f aca="false">IF(L44&lt;$D$27,"忽略不计",M44)</f>
        <v>忽略不计</v>
      </c>
      <c r="IJ44" s="1"/>
      <c r="IK44" s="1"/>
      <c r="IL44" s="1"/>
    </row>
    <row r="45" customFormat="false" ht="17.15" hidden="false" customHeight="false" outlineLevel="0" collapsed="false">
      <c r="A45" s="58"/>
      <c r="B45" s="55" t="s">
        <v>74</v>
      </c>
      <c r="C45" s="57" t="n">
        <f aca="false">tranvalue(D45/$D$33,2)</f>
        <v>1.87</v>
      </c>
      <c r="D45" s="44" t="n">
        <v>27.702</v>
      </c>
      <c r="E45" s="36" t="n">
        <v>0.0477</v>
      </c>
      <c r="F45" s="59" t="n">
        <f aca="false">IF(E45="n.a.","n.a.",tranvalue(E45/($E$33*$F$33)*100,IF(E45/($E$33*$F$33)*100&lt;0.0001,5,IF(E45/($E$33*$F$33)*100&lt;0.001,4,IF(E45/($E$33*$F$33)*100&lt;0.01,3,IF(E45/($E$33*$F$33)*100&lt;0.1,2,IF(E45/($E$33*$F$33)*100&lt;1,1,0)))))))</f>
        <v>0.03</v>
      </c>
      <c r="G45" s="59" t="str">
        <f aca="false">IF(E45&lt;$D$27,"忽略不计",F45)</f>
        <v>忽略不计</v>
      </c>
      <c r="H45" s="58"/>
      <c r="I45" s="55" t="s">
        <v>74</v>
      </c>
      <c r="J45" s="57" t="n">
        <f aca="false">tranvalue(K45/$K$33,2)</f>
        <v>1.87</v>
      </c>
      <c r="K45" s="44" t="n">
        <v>27.695</v>
      </c>
      <c r="L45" s="36" t="n">
        <v>0.0463</v>
      </c>
      <c r="M45" s="59" t="n">
        <f aca="false">IF(L45="n.a.","n.a.",tranvalue(L45/($L$33*$M$33)*100,IF(L45/($L$33*$M$33)*100&lt;0.0001,5,IF(L45/($L$33*$M$33)*100&lt;0.001,4,IF(L45/($L$33*$M$33)*100&lt;0.01,3,IF(L45/($L$33*$M$33)*100&lt;0.1,2,IF(L45/($L$33*$M$33)*100&lt;1,1,0)))))))</f>
        <v>0.03</v>
      </c>
      <c r="N45" s="59" t="str">
        <f aca="false">IF(L45&lt;$D$27,"忽略不计",M45)</f>
        <v>忽略不计</v>
      </c>
      <c r="IJ45" s="1"/>
      <c r="IK45" s="1"/>
      <c r="IL45" s="1"/>
    </row>
    <row r="46" customFormat="false" ht="17.15" hidden="false" customHeight="false" outlineLevel="0" collapsed="false">
      <c r="A46" s="58"/>
      <c r="B46" s="55" t="s">
        <v>75</v>
      </c>
      <c r="C46" s="57" t="n">
        <f aca="false">tranvalue(D46/$D$33,2)</f>
        <v>0</v>
      </c>
      <c r="D46" s="44"/>
      <c r="E46" s="36"/>
      <c r="F46" s="59" t="n">
        <f aca="false">IF(E46="n.a.","n.a.",tranvalue(E46/($E$33*$F$33)*100,IF(E46/($E$33*$F$33)*100&lt;0.0001,5,IF(E46/($E$33*$F$33)*100&lt;0.001,4,IF(E46/($E$33*$F$33)*100&lt;0.01,3,IF(E46/($E$33*$F$33)*100&lt;0.1,2,IF(E46/($E$33*$F$33)*100&lt;1,1,0)))))))</f>
        <v>0</v>
      </c>
      <c r="G46" s="59" t="str">
        <f aca="false">IF(E46&lt;$D$27,"忽略不计",F46)</f>
        <v>忽略不计</v>
      </c>
      <c r="H46" s="58"/>
      <c r="I46" s="55" t="s">
        <v>75</v>
      </c>
      <c r="J46" s="57" t="n">
        <f aca="false">tranvalue(K46/$K$33,2)</f>
        <v>0</v>
      </c>
      <c r="K46" s="44"/>
      <c r="L46" s="36"/>
      <c r="M46" s="59" t="n">
        <f aca="false">IF(L46="n.a.","n.a.",tranvalue(L46/($L$33*$M$33)*100,IF(L46/($L$33*$M$33)*100&lt;0.0001,5,IF(L46/($L$33*$M$33)*100&lt;0.001,4,IF(L46/($L$33*$M$33)*100&lt;0.01,3,IF(L46/($L$33*$M$33)*100&lt;0.1,2,IF(L46/($L$33*$M$33)*100&lt;1,1,0)))))))</f>
        <v>0</v>
      </c>
      <c r="N46" s="59" t="str">
        <f aca="false">IF(L46&lt;$D$27,"忽略不计",M46)</f>
        <v>忽略不计</v>
      </c>
      <c r="IJ46" s="1"/>
      <c r="IK46" s="1"/>
      <c r="IL46" s="1"/>
    </row>
    <row r="47" customFormat="false" ht="17.15" hidden="false" customHeight="false" outlineLevel="0" collapsed="false">
      <c r="A47" s="58"/>
      <c r="B47" s="55" t="s">
        <v>76</v>
      </c>
      <c r="C47" s="57" t="n">
        <f aca="false">tranvalue(D47/$D$33,2)</f>
        <v>0</v>
      </c>
      <c r="D47" s="44"/>
      <c r="E47" s="34"/>
      <c r="F47" s="59" t="n">
        <f aca="false">IF(E47="n.a.","n.a.",tranvalue(E47/($E$33*$F$33)*100,IF(E47/($E$33*$F$33)*100&lt;0.0001,5,IF(E47/($E$33*$F$33)*100&lt;0.001,4,IF(E47/($E$33*$F$33)*100&lt;0.01,3,IF(E47/($E$33*$F$33)*100&lt;0.1,2,IF(E47/($E$33*$F$33)*100&lt;1,1,0)))))))</f>
        <v>0</v>
      </c>
      <c r="G47" s="59" t="str">
        <f aca="false">IF(E47&lt;$D$27,"忽略不计",F47)</f>
        <v>忽略不计</v>
      </c>
      <c r="H47" s="58"/>
      <c r="I47" s="55" t="s">
        <v>76</v>
      </c>
      <c r="J47" s="57" t="n">
        <f aca="false">tranvalue(K47/$K$33,2)</f>
        <v>0</v>
      </c>
      <c r="K47" s="44"/>
      <c r="L47" s="36"/>
      <c r="M47" s="59" t="n">
        <f aca="false">IF(L47="n.a.","n.a.",tranvalue(L47/($L$33*$M$33)*100,IF(L47/($L$33*$M$33)*100&lt;0.0001,5,IF(L47/($L$33*$M$33)*100&lt;0.001,4,IF(L47/($L$33*$M$33)*100&lt;0.01,3,IF(L47/($L$33*$M$33)*100&lt;0.1,2,IF(L47/($L$33*$M$33)*100&lt;1,1,0)))))))</f>
        <v>0</v>
      </c>
      <c r="N47" s="59" t="str">
        <f aca="false">IF(L47&lt;$D$27,"忽略不计",M47)</f>
        <v>忽略不计</v>
      </c>
      <c r="IJ47" s="1"/>
      <c r="IK47" s="1"/>
      <c r="IL47" s="1"/>
    </row>
    <row r="48" customFormat="false" ht="17.15" hidden="false" customHeight="false" outlineLevel="0" collapsed="false">
      <c r="A48" s="58"/>
      <c r="B48" s="55" t="s">
        <v>77</v>
      </c>
      <c r="C48" s="57" t="n">
        <f aca="false">tranvalue(D48/$D$33,2)</f>
        <v>0</v>
      </c>
      <c r="D48" s="44"/>
      <c r="E48" s="34"/>
      <c r="F48" s="59" t="n">
        <f aca="false">IF(E48="n.a.","n.a.",tranvalue(E48/($E$33*$F$33)*100,IF(E48/($E$33*$F$33)*100&lt;0.0001,5,IF(E48/($E$33*$F$33)*100&lt;0.001,4,IF(E48/($E$33*$F$33)*100&lt;0.01,3,IF(E48/($E$33*$F$33)*100&lt;0.1,2,IF(E48/($E$33*$F$33)*100&lt;1,1,0)))))))</f>
        <v>0</v>
      </c>
      <c r="G48" s="59" t="str">
        <f aca="false">IF(E48&lt;$D$27,"忽略不计",F48)</f>
        <v>忽略不计</v>
      </c>
      <c r="H48" s="58"/>
      <c r="I48" s="55" t="s">
        <v>77</v>
      </c>
      <c r="J48" s="57" t="n">
        <f aca="false">tranvalue(K48/$K$33,2)</f>
        <v>0</v>
      </c>
      <c r="K48" s="44"/>
      <c r="L48" s="36"/>
      <c r="M48" s="59" t="n">
        <f aca="false">IF(L48="n.a.","n.a.",tranvalue(L48/($L$33*$M$33)*100,IF(L48/($L$33*$M$33)*100&lt;0.0001,5,IF(L48/($L$33*$M$33)*100&lt;0.001,4,IF(L48/($L$33*$M$33)*100&lt;0.01,3,IF(L48/($L$33*$M$33)*100&lt;0.1,2,IF(L48/($L$33*$M$33)*100&lt;1,1,0)))))))</f>
        <v>0</v>
      </c>
      <c r="N48" s="59" t="str">
        <f aca="false">IF(L48&lt;$D$27,"忽略不计",M48)</f>
        <v>忽略不计</v>
      </c>
      <c r="IJ48" s="1"/>
      <c r="IK48" s="1"/>
      <c r="IL48" s="1"/>
    </row>
    <row r="49" customFormat="false" ht="17.15" hidden="false" customHeight="false" outlineLevel="0" collapsed="false">
      <c r="A49" s="58"/>
      <c r="B49" s="55" t="s">
        <v>78</v>
      </c>
      <c r="C49" s="57" t="n">
        <f aca="false">tranvalue(D49/$D$33,2)</f>
        <v>0</v>
      </c>
      <c r="D49" s="44"/>
      <c r="E49" s="34"/>
      <c r="F49" s="59" t="n">
        <f aca="false">IF(E49="n.a.","n.a.",tranvalue(E49/($E$33*$F$33)*100,IF(E49/($E$33*$F$33)*100&lt;0.0001,5,IF(E49/($E$33*$F$33)*100&lt;0.001,4,IF(E49/($E$33*$F$33)*100&lt;0.01,3,IF(E49/($E$33*$F$33)*100&lt;0.1,2,IF(E49/($E$33*$F$33)*100&lt;1,1,0)))))))</f>
        <v>0</v>
      </c>
      <c r="G49" s="59" t="str">
        <f aca="false">IF(E49&lt;$D$27,"忽略不计",F49)</f>
        <v>忽略不计</v>
      </c>
      <c r="H49" s="58"/>
      <c r="I49" s="55" t="s">
        <v>78</v>
      </c>
      <c r="J49" s="57" t="n">
        <f aca="false">tranvalue(K49/$K$33,2)</f>
        <v>0</v>
      </c>
      <c r="K49" s="44"/>
      <c r="L49" s="36"/>
      <c r="M49" s="59" t="n">
        <f aca="false">IF(L49="n.a.","n.a.",tranvalue(L49/($L$33*$M$33)*100,IF(L49/($L$33*$M$33)*100&lt;0.0001,5,IF(L49/($L$33*$M$33)*100&lt;0.001,4,IF(L49/($L$33*$M$33)*100&lt;0.01,3,IF(L49/($L$33*$M$33)*100&lt;0.1,2,IF(L49/($L$33*$M$33)*100&lt;1,1,0)))))))</f>
        <v>0</v>
      </c>
      <c r="N49" s="59" t="str">
        <f aca="false">IF(L49&lt;$D$27,"忽略不计",M49)</f>
        <v>忽略不计</v>
      </c>
      <c r="IJ49" s="1"/>
      <c r="IK49" s="1"/>
      <c r="IL49" s="1"/>
    </row>
    <row r="50" customFormat="false" ht="17.15" hidden="false" customHeight="false" outlineLevel="0" collapsed="false">
      <c r="A50" s="58"/>
      <c r="B50" s="55" t="s">
        <v>79</v>
      </c>
      <c r="C50" s="57" t="n">
        <f aca="false">tranvalue(D50/$D$33,2)</f>
        <v>0</v>
      </c>
      <c r="D50" s="44"/>
      <c r="E50" s="34"/>
      <c r="F50" s="59" t="n">
        <f aca="false">IF(E50="n.a.","n.a.",tranvalue(E50/($E$33*$F$33)*100,IF(E50/($E$33*$F$33)*100&lt;0.0001,5,IF(E50/($E$33*$F$33)*100&lt;0.001,4,IF(E50/($E$33*$F$33)*100&lt;0.01,3,IF(E50/($E$33*$F$33)*100&lt;0.1,2,IF(E50/($E$33*$F$33)*100&lt;1,1,0)))))))</f>
        <v>0</v>
      </c>
      <c r="G50" s="59" t="str">
        <f aca="false">IF(E50&lt;$D$27,"忽略不计",F50)</f>
        <v>忽略不计</v>
      </c>
      <c r="H50" s="58"/>
      <c r="I50" s="55" t="s">
        <v>79</v>
      </c>
      <c r="J50" s="57" t="n">
        <f aca="false">tranvalue(K50/$K$33,2)</f>
        <v>0</v>
      </c>
      <c r="K50" s="44"/>
      <c r="L50" s="36"/>
      <c r="M50" s="59" t="n">
        <f aca="false">IF(L50="n.a.","n.a.",tranvalue(L50/($L$33*$M$33)*100,IF(L50/($L$33*$M$33)*100&lt;0.0001,5,IF(L50/($L$33*$M$33)*100&lt;0.001,4,IF(L50/($L$33*$M$33)*100&lt;0.01,3,IF(L50/($L$33*$M$33)*100&lt;0.1,2,IF(L50/($L$33*$M$33)*100&lt;1,1,0)))))))</f>
        <v>0</v>
      </c>
      <c r="N50" s="59" t="str">
        <f aca="false">IF(L50&lt;$D$27,"忽略不计",M50)</f>
        <v>忽略不计</v>
      </c>
      <c r="IJ50" s="1"/>
      <c r="IK50" s="1"/>
      <c r="IL50" s="1"/>
    </row>
    <row r="51" customFormat="false" ht="17.15" hidden="false" customHeight="false" outlineLevel="0" collapsed="false">
      <c r="A51" s="58"/>
      <c r="B51" s="55" t="s">
        <v>80</v>
      </c>
      <c r="C51" s="57" t="n">
        <f aca="false">tranvalue(D51/$D$33,2)</f>
        <v>0</v>
      </c>
      <c r="D51" s="44"/>
      <c r="E51" s="34"/>
      <c r="F51" s="59" t="n">
        <f aca="false">IF(E51="n.a.","n.a.",tranvalue(E51/($E$33*$F$33)*100,IF(E51/($E$33*$F$33)*100&lt;0.0001,5,IF(E51/($E$33*$F$33)*100&lt;0.001,4,IF(E51/($E$33*$F$33)*100&lt;0.01,3,IF(E51/($E$33*$F$33)*100&lt;0.1,2,IF(E51/($E$33*$F$33)*100&lt;1,1,0)))))))</f>
        <v>0</v>
      </c>
      <c r="G51" s="59" t="str">
        <f aca="false">IF(E51&lt;$D$27,"忽略不计",F51)</f>
        <v>忽略不计</v>
      </c>
      <c r="H51" s="58"/>
      <c r="I51" s="55" t="s">
        <v>80</v>
      </c>
      <c r="J51" s="57" t="n">
        <f aca="false">tranvalue(K51/$K$33,2)</f>
        <v>0</v>
      </c>
      <c r="K51" s="44"/>
      <c r="L51" s="36"/>
      <c r="M51" s="59" t="n">
        <f aca="false">IF(L51="n.a.","n.a.",tranvalue(L51/($L$33*$M$33)*100,IF(L51/($L$33*$M$33)*100&lt;0.0001,5,IF(L51/($L$33*$M$33)*100&lt;0.001,4,IF(L51/($L$33*$M$33)*100&lt;0.01,3,IF(L51/($L$33*$M$33)*100&lt;0.1,2,IF(L51/($L$33*$M$33)*100&lt;1,1,0)))))))</f>
        <v>0</v>
      </c>
      <c r="N51" s="59" t="str">
        <f aca="false">IF(L51&lt;$D$27,"忽略不计",M51)</f>
        <v>忽略不计</v>
      </c>
      <c r="IJ51" s="1"/>
      <c r="IK51" s="1"/>
      <c r="IL51" s="1"/>
    </row>
    <row r="52" customFormat="false" ht="17.15" hidden="false" customHeight="false" outlineLevel="0" collapsed="false">
      <c r="A52" s="58"/>
      <c r="B52" s="55" t="s">
        <v>81</v>
      </c>
      <c r="C52" s="57" t="n">
        <f aca="false">tranvalue(D52/$D$33,2)</f>
        <v>0</v>
      </c>
      <c r="D52" s="44"/>
      <c r="E52" s="34"/>
      <c r="F52" s="59" t="n">
        <f aca="false">IF(E52="n.a.","n.a.",tranvalue(E52/($E$33*$F$33)*100,IF(E52/($E$33*$F$33)*100&lt;0.0001,5,IF(E52/($E$33*$F$33)*100&lt;0.001,4,IF(E52/($E$33*$F$33)*100&lt;0.01,3,IF(E52/($E$33*$F$33)*100&lt;0.1,2,IF(E52/($E$33*$F$33)*100&lt;1,1,0)))))))</f>
        <v>0</v>
      </c>
      <c r="G52" s="59" t="str">
        <f aca="false">IF(E52&lt;$D$27,"忽略不计",F52)</f>
        <v>忽略不计</v>
      </c>
      <c r="H52" s="58"/>
      <c r="I52" s="55" t="s">
        <v>81</v>
      </c>
      <c r="J52" s="57" t="n">
        <f aca="false">tranvalue(K52/$K$33,2)</f>
        <v>0</v>
      </c>
      <c r="K52" s="44"/>
      <c r="L52" s="36"/>
      <c r="M52" s="59" t="n">
        <f aca="false">IF(L52="n.a.","n.a.",tranvalue(L52/($L$33*$M$33)*100,IF(L52/($L$33*$M$33)*100&lt;0.0001,5,IF(L52/($L$33*$M$33)*100&lt;0.001,4,IF(L52/($L$33*$M$33)*100&lt;0.01,3,IF(L52/($L$33*$M$33)*100&lt;0.1,2,IF(L52/($L$33*$M$33)*100&lt;1,1,0)))))))</f>
        <v>0</v>
      </c>
      <c r="N52" s="59" t="str">
        <f aca="false">IF(L52&lt;$D$27,"忽略不计",M52)</f>
        <v>忽略不计</v>
      </c>
      <c r="IJ52" s="1"/>
      <c r="IK52" s="1"/>
      <c r="IL52" s="1"/>
    </row>
    <row r="53" customFormat="false" ht="17.15" hidden="false" customHeight="false" outlineLevel="0" collapsed="false">
      <c r="A53" s="58"/>
      <c r="B53" s="55" t="s">
        <v>82</v>
      </c>
      <c r="C53" s="57" t="n">
        <f aca="false">tranvalue(D53/$D$33,2)</f>
        <v>0</v>
      </c>
      <c r="D53" s="44"/>
      <c r="E53" s="34"/>
      <c r="F53" s="59" t="n">
        <f aca="false">IF(E53="n.a.","n.a.",tranvalue(E53/($E$33*$F$33)*100,IF(E53/($E$33*$F$33)*100&lt;0.0001,5,IF(E53/($E$33*$F$33)*100&lt;0.001,4,IF(E53/($E$33*$F$33)*100&lt;0.01,3,IF(E53/($E$33*$F$33)*100&lt;0.1,2,IF(E53/($E$33*$F$33)*100&lt;1,1,0)))))))</f>
        <v>0</v>
      </c>
      <c r="G53" s="59" t="str">
        <f aca="false">IF(E53&lt;$D$27,"忽略不计",F53)</f>
        <v>忽略不计</v>
      </c>
      <c r="H53" s="58"/>
      <c r="I53" s="55" t="s">
        <v>82</v>
      </c>
      <c r="J53" s="57" t="n">
        <f aca="false">tranvalue(K53/$K$33,2)</f>
        <v>0</v>
      </c>
      <c r="K53" s="44"/>
      <c r="L53" s="36"/>
      <c r="M53" s="59" t="n">
        <f aca="false">IF(L53="n.a.","n.a.",tranvalue(L53/($L$33*$M$33)*100,IF(L53/($L$33*$M$33)*100&lt;0.0001,5,IF(L53/($L$33*$M$33)*100&lt;0.001,4,IF(L53/($L$33*$M$33)*100&lt;0.01,3,IF(L53/($L$33*$M$33)*100&lt;0.1,2,IF(L53/($L$33*$M$33)*100&lt;1,1,0)))))))</f>
        <v>0</v>
      </c>
      <c r="N53" s="59" t="str">
        <f aca="false">IF(L53&lt;$D$27,"忽略不计",M53)</f>
        <v>忽略不计</v>
      </c>
      <c r="R53" s="2"/>
      <c r="IJ53" s="1"/>
      <c r="IK53" s="1"/>
      <c r="IL53" s="1"/>
    </row>
    <row r="54" customFormat="false" ht="17.15" hidden="false" customHeight="false" outlineLevel="0" collapsed="false">
      <c r="A54" s="58"/>
      <c r="B54" s="55" t="s">
        <v>83</v>
      </c>
      <c r="C54" s="57" t="n">
        <f aca="false">tranvalue(D54/$D$33,2)</f>
        <v>0</v>
      </c>
      <c r="D54" s="44"/>
      <c r="E54" s="34"/>
      <c r="F54" s="59" t="n">
        <f aca="false">IF(E54="n.a.","n.a.",tranvalue(E54/($E$33*$F$33)*100,IF(E54/($E$33*$F$33)*100&lt;0.0001,5,IF(E54/($E$33*$F$33)*100&lt;0.001,4,IF(E54/($E$33*$F$33)*100&lt;0.01,3,IF(E54/($E$33*$F$33)*100&lt;0.1,2,IF(E54/($E$33*$F$33)*100&lt;1,1,0)))))))</f>
        <v>0</v>
      </c>
      <c r="G54" s="59" t="str">
        <f aca="false">IF(E54&lt;$D$27,"忽略不计",F54)</f>
        <v>忽略不计</v>
      </c>
      <c r="H54" s="58"/>
      <c r="I54" s="55" t="s">
        <v>83</v>
      </c>
      <c r="J54" s="57" t="n">
        <f aca="false">tranvalue(K54/$K$33,2)</f>
        <v>0</v>
      </c>
      <c r="K54" s="44"/>
      <c r="L54" s="36"/>
      <c r="M54" s="59" t="n">
        <f aca="false">IF(L54="n.a.","n.a.",tranvalue(L54/($L$33*$M$33)*100,IF(L54/($L$33*$M$33)*100&lt;0.0001,5,IF(L54/($L$33*$M$33)*100&lt;0.001,4,IF(L54/($L$33*$M$33)*100&lt;0.01,3,IF(L54/($L$33*$M$33)*100&lt;0.1,2,IF(L54/($L$33*$M$33)*100&lt;1,1,0)))))))</f>
        <v>0</v>
      </c>
      <c r="N54" s="59" t="str">
        <f aca="false">IF(L54&lt;$D$27,"忽略不计",M54)</f>
        <v>忽略不计</v>
      </c>
      <c r="R54" s="2"/>
      <c r="IJ54" s="1"/>
      <c r="IK54" s="1"/>
      <c r="IL54" s="1"/>
    </row>
    <row r="55" customFormat="false" ht="17.15" hidden="false" customHeight="false" outlineLevel="0" collapsed="false">
      <c r="A55" s="58"/>
      <c r="B55" s="55" t="s">
        <v>84</v>
      </c>
      <c r="C55" s="57" t="n">
        <f aca="false">tranvalue(D55/$D$33,2)</f>
        <v>0</v>
      </c>
      <c r="D55" s="60"/>
      <c r="E55" s="61"/>
      <c r="F55" s="59" t="n">
        <f aca="false">IF(E55="n.a.","n.a.",tranvalue(E55/($E$33*$F$33)*100,IF(E55/($E$33*$F$33)*100&lt;0.0001,5,IF(E55/($E$33*$F$33)*100&lt;0.001,4,IF(E55/($E$33*$F$33)*100&lt;0.01,3,IF(E55/($E$33*$F$33)*100&lt;0.1,2,IF(E55/($E$33*$F$33)*100&lt;1,1,0)))))))</f>
        <v>0</v>
      </c>
      <c r="G55" s="59" t="str">
        <f aca="false">IF(E55&lt;$D$27,"忽略不计",F55)</f>
        <v>忽略不计</v>
      </c>
      <c r="H55" s="58"/>
      <c r="I55" s="55" t="s">
        <v>84</v>
      </c>
      <c r="J55" s="57" t="n">
        <f aca="false">tranvalue(K55/$K$33,2)</f>
        <v>0</v>
      </c>
      <c r="K55" s="60"/>
      <c r="L55" s="62"/>
      <c r="M55" s="59" t="n">
        <f aca="false">IF(L55="n.a.","n.a.",tranvalue(L55/($L$33*$M$33)*100,IF(L55/($L$33*$M$33)*100&lt;0.0001,5,IF(L55/($L$33*$M$33)*100&lt;0.001,4,IF(L55/($L$33*$M$33)*100&lt;0.01,3,IF(L55/($L$33*$M$33)*100&lt;0.1,2,IF(L55/($L$33*$M$33)*100&lt;1,1,0)))))))</f>
        <v>0</v>
      </c>
      <c r="N55" s="59" t="str">
        <f aca="false">IF(L55&lt;$D$27,"忽略不计",M55)</f>
        <v>忽略不计</v>
      </c>
      <c r="R55" s="2"/>
      <c r="IJ55" s="1"/>
      <c r="IK55" s="1"/>
      <c r="IL55" s="1"/>
    </row>
    <row r="56" customFormat="false" ht="29.1" hidden="false" customHeight="true" outlineLevel="0" collapsed="false">
      <c r="A56" s="55" t="s">
        <v>85</v>
      </c>
      <c r="B56" s="56" t="s">
        <v>86</v>
      </c>
      <c r="C56" s="56"/>
      <c r="D56" s="56"/>
      <c r="E56" s="56"/>
      <c r="F56" s="63" t="n">
        <f aca="false">MAX(F36:F55)</f>
        <v>0.05</v>
      </c>
      <c r="G56" s="59" t="n">
        <f aca="false">IF(MAX(E36:E55)&lt;$D$27,"忽略不计",F56)</f>
        <v>0.05</v>
      </c>
      <c r="H56" s="55" t="s">
        <v>85</v>
      </c>
      <c r="I56" s="56" t="s">
        <v>86</v>
      </c>
      <c r="J56" s="56"/>
      <c r="K56" s="56"/>
      <c r="L56" s="56"/>
      <c r="M56" s="63" t="n">
        <f aca="false">MAX(M36:M55)</f>
        <v>0.06</v>
      </c>
      <c r="N56" s="59" t="n">
        <f aca="false">IF(MAX(L36:L55)&lt;$D$27,"忽略不计",M56)</f>
        <v>0.06</v>
      </c>
      <c r="R56" s="2"/>
      <c r="IJ56" s="1"/>
    </row>
    <row r="57" customFormat="false" ht="17.15" hidden="false" customHeight="true" outlineLevel="0" collapsed="false">
      <c r="A57" s="55"/>
      <c r="B57" s="56" t="s">
        <v>87</v>
      </c>
      <c r="C57" s="56"/>
      <c r="D57" s="56"/>
      <c r="E57" s="56"/>
      <c r="F57" s="63" t="n">
        <f aca="false">IF(SUM(F35:F55)=0,0,tranvalue(SUM(F35:F55),IF(SUM(F35:F55)&lt;0.0001,6,IF(SUM(F35:F55)&lt;0.001,5,IF(SUM(F35:F55)&lt;0.01,4,IF(SUM(F35:F55)&lt;0.1,3,IF(SUM(F35:F55)&lt;1,2,1)))))))</f>
        <v>0.28</v>
      </c>
      <c r="G57" s="63"/>
      <c r="H57" s="55"/>
      <c r="I57" s="56" t="s">
        <v>87</v>
      </c>
      <c r="J57" s="56"/>
      <c r="K57" s="56"/>
      <c r="L57" s="56"/>
      <c r="M57" s="63" t="n">
        <f aca="false">IF(SUM(M35:M55)=0,0,tranvalue(SUM(M35:M55),IF(SUM(M35:M55)&lt;0.0001,6,IF(SUM(M35:M55)&lt;0.001,5,IF(SUM(M35:M55)&lt;0.01,4,IF(SUM(M35:M55)&lt;0.1,3,IF(SUM(M35:M55)&lt;1,2,1)))))))</f>
        <v>0.31</v>
      </c>
      <c r="N57" s="63"/>
      <c r="R57" s="2"/>
      <c r="IJ57" s="1"/>
    </row>
    <row r="58" customFormat="false" ht="17.15" hidden="false" customHeight="true" outlineLevel="0" collapsed="false">
      <c r="A58" s="55"/>
      <c r="B58" s="56" t="s">
        <v>88</v>
      </c>
      <c r="C58" s="56"/>
      <c r="D58" s="56"/>
      <c r="E58" s="56"/>
      <c r="F58" s="63" t="n">
        <f aca="false">IF(SUM(G35:G55)=0,"0",tranvalue(SUM(G35:G55),IF(SUM(G35:G55)&lt;0.0001,6,IF(SUM(G35:G55)&lt;0.001,5,IF(SUM(G35:G55)&lt;0.01,4,IF(SUM(G35:G55)&lt;0.1,3,IF(SUM(G35:G55)&lt;1,2,1)))))))</f>
        <v>0.05</v>
      </c>
      <c r="G58" s="63"/>
      <c r="H58" s="55"/>
      <c r="I58" s="56" t="s">
        <v>88</v>
      </c>
      <c r="J58" s="56"/>
      <c r="K58" s="56"/>
      <c r="L58" s="56"/>
      <c r="M58" s="63" t="n">
        <f aca="false">IF(SUM(N35:N55)=0,"0",tranvalue(SUM(N35:N55),IF(SUM(N35:N55)&lt;0.0001,6,IF(SUM(N35:N55)&lt;0.001,5,IF(SUM(N35:N55)&lt;0.01,4,IF(SUM(N35:N55)&lt;0.1,3,IF(SUM(N35:N55)&lt;1,2,1)))))))</f>
        <v>0.06</v>
      </c>
      <c r="N58" s="63"/>
      <c r="R58" s="2"/>
      <c r="IJ58" s="1"/>
    </row>
    <row r="59" customFormat="false" ht="13.8" hidden="false" customHeight="false" outlineLevel="0" collapsed="false">
      <c r="R59" s="2"/>
      <c r="IJ59" s="1"/>
    </row>
    <row r="60" customFormat="false" ht="14.25" hidden="false" customHeight="true" outlineLevel="0" collapsed="false">
      <c r="B60" s="1" t="s">
        <v>89</v>
      </c>
      <c r="F60" s="64"/>
      <c r="R60" s="2"/>
      <c r="IJ60" s="1"/>
    </row>
    <row r="61" customFormat="false" ht="13.8" hidden="false" customHeight="false" outlineLevel="0" collapsed="false">
      <c r="R61" s="2"/>
      <c r="IJ61" s="1"/>
    </row>
    <row r="62" customFormat="false" ht="13.8" hidden="false" customHeight="false" outlineLevel="0" collapsed="false">
      <c r="R62" s="2"/>
      <c r="IJ62" s="1"/>
    </row>
    <row r="63" customFormat="false" ht="13.8" hidden="false" customHeight="false" outlineLevel="0" collapsed="false">
      <c r="R63" s="2"/>
      <c r="IJ63" s="1"/>
    </row>
    <row r="64" customFormat="false" ht="13.8" hidden="false" customHeight="false" outlineLevel="0" collapsed="false">
      <c r="R64" s="2"/>
      <c r="IJ64" s="1"/>
    </row>
    <row r="65" customFormat="false" ht="13.8" hidden="false" customHeight="false" outlineLevel="0" collapsed="false">
      <c r="B65" s="1" t="s">
        <v>90</v>
      </c>
      <c r="P65" s="65"/>
      <c r="R65" s="2"/>
      <c r="IJ65" s="1"/>
    </row>
    <row r="66" customFormat="false" ht="13.8" hidden="false" customHeight="false" outlineLevel="0" collapsed="false">
      <c r="P66" s="65"/>
      <c r="R66" s="2"/>
      <c r="IJ66" s="1"/>
    </row>
    <row r="67" customFormat="false" ht="13.8" hidden="false" customHeight="false" outlineLevel="0" collapsed="false">
      <c r="P67" s="65"/>
      <c r="R67" s="2"/>
      <c r="IJ67" s="1"/>
    </row>
    <row r="68" customFormat="false" ht="13.8" hidden="false" customHeight="false" outlineLevel="0" collapsed="false">
      <c r="P68" s="65"/>
      <c r="R68" s="2"/>
      <c r="IJ68" s="1"/>
    </row>
    <row r="69" customFormat="false" ht="17.15" hidden="false" customHeight="false" outlineLevel="0" collapsed="false">
      <c r="A69" s="1" t="s">
        <v>91</v>
      </c>
      <c r="D69" s="2"/>
      <c r="H69" s="1" t="s">
        <v>92</v>
      </c>
      <c r="P69" s="65"/>
      <c r="R69" s="2"/>
      <c r="IJ69" s="1"/>
    </row>
    <row r="70" customFormat="false" ht="13.8" hidden="false" customHeight="false" outlineLevel="0" collapsed="false">
      <c r="D70" s="2"/>
      <c r="P70" s="2"/>
      <c r="R70" s="2"/>
      <c r="IJ70" s="1"/>
    </row>
    <row r="71" customFormat="false" ht="13.8" hidden="false" customHeight="false" outlineLevel="0" collapsed="false">
      <c r="D71" s="2"/>
      <c r="P71" s="2"/>
      <c r="IJ71" s="1"/>
    </row>
    <row r="72" customFormat="false" ht="16.65" hidden="false" customHeight="false" outlineLevel="0" collapsed="false">
      <c r="A72" s="42" t="s">
        <v>50</v>
      </c>
      <c r="B72" s="22" t="s">
        <v>93</v>
      </c>
      <c r="C72" s="22"/>
      <c r="D72" s="22"/>
      <c r="E72" s="22"/>
      <c r="F72" s="22"/>
      <c r="G72" s="22"/>
      <c r="H72" s="42" t="s">
        <v>50</v>
      </c>
      <c r="I72" s="22" t="s">
        <v>94</v>
      </c>
      <c r="J72" s="22"/>
      <c r="K72" s="22"/>
      <c r="L72" s="22"/>
      <c r="M72" s="22"/>
      <c r="N72" s="22"/>
      <c r="P72" s="2"/>
      <c r="IJ72" s="1"/>
    </row>
    <row r="73" customFormat="false" ht="43.5" hidden="false" customHeight="true" outlineLevel="0" collapsed="false">
      <c r="A73" s="52" t="s">
        <v>23</v>
      </c>
      <c r="B73" s="53" t="s">
        <v>53</v>
      </c>
      <c r="C73" s="53" t="s">
        <v>54</v>
      </c>
      <c r="D73" s="43" t="s">
        <v>55</v>
      </c>
      <c r="E73" s="54" t="s">
        <v>48</v>
      </c>
      <c r="F73" s="52" t="s">
        <v>56</v>
      </c>
      <c r="G73" s="52"/>
      <c r="H73" s="52" t="s">
        <v>23</v>
      </c>
      <c r="I73" s="52" t="s">
        <v>53</v>
      </c>
      <c r="J73" s="52" t="s">
        <v>54</v>
      </c>
      <c r="K73" s="43" t="s">
        <v>55</v>
      </c>
      <c r="L73" s="43" t="s">
        <v>48</v>
      </c>
      <c r="M73" s="52" t="s">
        <v>56</v>
      </c>
      <c r="N73" s="52"/>
      <c r="P73" s="2"/>
      <c r="IJ73" s="1"/>
      <c r="IK73" s="1"/>
      <c r="IL73" s="1"/>
    </row>
    <row r="74" customFormat="false" ht="17.15" hidden="false" customHeight="false" outlineLevel="0" collapsed="false">
      <c r="A74" s="55" t="s">
        <v>57</v>
      </c>
      <c r="B74" s="56" t="s">
        <v>58</v>
      </c>
      <c r="C74" s="57" t="n">
        <f aca="false">D74/$D$74</f>
        <v>1</v>
      </c>
      <c r="D74" s="44" t="n">
        <v>14.793</v>
      </c>
      <c r="E74" s="34" t="n">
        <v>0.1611</v>
      </c>
      <c r="F74" s="38" t="n">
        <f aca="false">100/0.1</f>
        <v>1000</v>
      </c>
      <c r="G74" s="38"/>
      <c r="H74" s="55" t="s">
        <v>57</v>
      </c>
      <c r="I74" s="56" t="s">
        <v>58</v>
      </c>
      <c r="J74" s="57" t="n">
        <f aca="false">K74/$K$74</f>
        <v>1</v>
      </c>
      <c r="K74" s="44" t="n">
        <v>14.8</v>
      </c>
      <c r="L74" s="34" t="n">
        <v>0.1941</v>
      </c>
      <c r="M74" s="38" t="n">
        <f aca="false">100/0.1</f>
        <v>1000</v>
      </c>
      <c r="N74" s="38"/>
      <c r="P74" s="2"/>
      <c r="IJ74" s="1"/>
      <c r="IK74" s="1"/>
      <c r="IL74" s="1"/>
    </row>
    <row r="75" customFormat="false" ht="32.8" hidden="false" customHeight="false" outlineLevel="0" collapsed="false">
      <c r="A75" s="52" t="s">
        <v>23</v>
      </c>
      <c r="B75" s="52" t="s">
        <v>59</v>
      </c>
      <c r="C75" s="53" t="s">
        <v>54</v>
      </c>
      <c r="D75" s="43" t="s">
        <v>55</v>
      </c>
      <c r="E75" s="43" t="s">
        <v>48</v>
      </c>
      <c r="F75" s="52" t="s">
        <v>60</v>
      </c>
      <c r="G75" s="52" t="s">
        <v>61</v>
      </c>
      <c r="H75" s="52" t="s">
        <v>23</v>
      </c>
      <c r="I75" s="52" t="s">
        <v>59</v>
      </c>
      <c r="J75" s="53" t="s">
        <v>54</v>
      </c>
      <c r="K75" s="43" t="s">
        <v>55</v>
      </c>
      <c r="L75" s="43" t="s">
        <v>48</v>
      </c>
      <c r="M75" s="52" t="s">
        <v>60</v>
      </c>
      <c r="N75" s="52" t="s">
        <v>61</v>
      </c>
      <c r="IJ75" s="1"/>
      <c r="IK75" s="1"/>
      <c r="IL75" s="1"/>
    </row>
    <row r="76" customFormat="false" ht="17.15" hidden="false" customHeight="false" outlineLevel="0" collapsed="false">
      <c r="A76" s="58" t="s">
        <v>62</v>
      </c>
      <c r="B76" s="55" t="s">
        <v>63</v>
      </c>
      <c r="C76" s="57" t="n">
        <f aca="false">tranvalue(D76/$D$74,2)</f>
        <v>1.08</v>
      </c>
      <c r="D76" s="44" t="n">
        <v>16.03</v>
      </c>
      <c r="E76" s="34" t="n">
        <v>0.069</v>
      </c>
      <c r="F76" s="59" t="n">
        <f aca="false">IF(E76="n.a.","n.a.",tranvalue(E76/($E$74*$F$74)*100,IF(E76/($E$74*$F$74)*100&lt;0.0001,5,IF(E76/($E$74*$F$74)*100&lt;0.001,4,IF(E76/($E$74*$F$74)*100&lt;0.01,3,IF(E76/($E$74*$F$74)*100&lt;0.1,2,IF(E76/($E$74*$F$74)*100&lt;1,1,0)))))))</f>
        <v>0.04</v>
      </c>
      <c r="G76" s="59" t="str">
        <f aca="false">IF(E76&lt;$D$27,"忽略不计",F76)</f>
        <v>忽略不计</v>
      </c>
      <c r="H76" s="58" t="s">
        <v>62</v>
      </c>
      <c r="I76" s="55" t="s">
        <v>63</v>
      </c>
      <c r="J76" s="57" t="n">
        <f aca="false">tranvalue(K76/$K$74,2)</f>
        <v>1.08</v>
      </c>
      <c r="K76" s="44" t="n">
        <v>16.05</v>
      </c>
      <c r="L76" s="36" t="n">
        <v>0.2243</v>
      </c>
      <c r="M76" s="59" t="n">
        <f aca="false">IF(L76="n.a.","n.a.",tranvalue(L76/($L$74*$M$74)*100,IF(L76/($L$74*$M$74)*100&lt;0.0001,5,IF(L76/($L$74*$M$74)*100&lt;0.001,4,IF(L76/($L$74*$M$74)*100&lt;0.01,3,IF(L76/($L$74*$M$74)*100&lt;0.1,2,IF(L76/($L$74*$M$74)*100&lt;1,1,0)))))))</f>
        <v>0.1</v>
      </c>
      <c r="N76" s="59" t="n">
        <f aca="false">IF(L76&lt;$D$27,"忽略不计",M76)</f>
        <v>0.1</v>
      </c>
      <c r="IJ76" s="1"/>
      <c r="IK76" s="1"/>
      <c r="IL76" s="1"/>
    </row>
    <row r="77" customFormat="false" ht="17.15" hidden="false" customHeight="true" outlineLevel="0" collapsed="false">
      <c r="A77" s="58" t="s">
        <v>64</v>
      </c>
      <c r="B77" s="55" t="s">
        <v>65</v>
      </c>
      <c r="C77" s="57" t="n">
        <f aca="false">tranvalue(D77/$D$74,2)</f>
        <v>0.29</v>
      </c>
      <c r="D77" s="44" t="n">
        <v>4.307</v>
      </c>
      <c r="E77" s="34" t="n">
        <v>0.0506</v>
      </c>
      <c r="F77" s="59" t="n">
        <f aca="false">IF(E77="n.a.","n.a.",tranvalue(E77/($E$74*$F$74)*100,IF(E77/($E$74*$F$74)*100&lt;0.0001,5,IF(E77/($E$74*$F$74)*100&lt;0.001,4,IF(E77/($E$74*$F$74)*100&lt;0.01,3,IF(E77/($E$74*$F$74)*100&lt;0.1,2,IF(E77/($E$74*$F$74)*100&lt;1,1,0)))))))</f>
        <v>0.03</v>
      </c>
      <c r="G77" s="59" t="str">
        <f aca="false">IF(E77&lt;$D$27,"忽略不计",F77)</f>
        <v>忽略不计</v>
      </c>
      <c r="H77" s="58" t="s">
        <v>64</v>
      </c>
      <c r="I77" s="55" t="s">
        <v>65</v>
      </c>
      <c r="J77" s="57" t="n">
        <f aca="false">tranvalue(K77/$K$74,2)</f>
        <v>0.23</v>
      </c>
      <c r="K77" s="44" t="n">
        <v>3.358</v>
      </c>
      <c r="L77" s="36" t="n">
        <v>0.0151</v>
      </c>
      <c r="M77" s="59" t="n">
        <f aca="false">IF(L77="n.a.","n.a.",tranvalue(L77/($L$74*$M$74)*100,IF(L77/($L$74*$M$74)*100&lt;0.0001,5,IF(L77/($L$74*$M$74)*100&lt;0.001,4,IF(L77/($L$74*$M$74)*100&lt;0.01,3,IF(L77/($L$74*$M$74)*100&lt;0.1,2,IF(L77/($L$74*$M$74)*100&lt;1,1,0)))))))</f>
        <v>0.008</v>
      </c>
      <c r="N77" s="59" t="str">
        <f aca="false">IF(L77&lt;$D$27,"忽略不计",M77)</f>
        <v>忽略不计</v>
      </c>
      <c r="IJ77" s="1"/>
      <c r="IK77" s="1"/>
      <c r="IL77" s="1"/>
    </row>
    <row r="78" customFormat="false" ht="17.15" hidden="false" customHeight="false" outlineLevel="0" collapsed="false">
      <c r="A78" s="58"/>
      <c r="B78" s="55" t="s">
        <v>66</v>
      </c>
      <c r="C78" s="57" t="n">
        <f aca="false">tranvalue(D78/$D$74,2)</f>
        <v>0.34</v>
      </c>
      <c r="D78" s="44" t="n">
        <v>5.083</v>
      </c>
      <c r="E78" s="34" t="n">
        <v>0.0177</v>
      </c>
      <c r="F78" s="59" t="n">
        <f aca="false">IF(E78="n.a.","n.a.",tranvalue(E78/($E$74*$F$74)*100,IF(E78/($E$74*$F$74)*100&lt;0.0001,5,IF(E78/($E$74*$F$74)*100&lt;0.001,4,IF(E78/($E$74*$F$74)*100&lt;0.01,3,IF(E78/($E$74*$F$74)*100&lt;0.1,2,IF(E78/($E$74*$F$74)*100&lt;1,1,0)))))))</f>
        <v>0.01</v>
      </c>
      <c r="G78" s="59" t="str">
        <f aca="false">IF(E78&lt;$D$27,"忽略不计",F78)</f>
        <v>忽略不计</v>
      </c>
      <c r="H78" s="58"/>
      <c r="I78" s="55" t="s">
        <v>66</v>
      </c>
      <c r="J78" s="57" t="n">
        <f aca="false">tranvalue(K78/$K$74,2)</f>
        <v>0.29</v>
      </c>
      <c r="K78" s="44" t="n">
        <v>4.312</v>
      </c>
      <c r="L78" s="36" t="n">
        <v>0.0749</v>
      </c>
      <c r="M78" s="59" t="n">
        <f aca="false">IF(L78="n.a.","n.a.",tranvalue(L78/($L$74*$M$74)*100,IF(L78/($L$74*$M$74)*100&lt;0.0001,5,IF(L78/($L$74*$M$74)*100&lt;0.001,4,IF(L78/($L$74*$M$74)*100&lt;0.01,3,IF(L78/($L$74*$M$74)*100&lt;0.1,2,IF(L78/($L$74*$M$74)*100&lt;1,1,0)))))))</f>
        <v>0.04</v>
      </c>
      <c r="N78" s="59" t="str">
        <f aca="false">IF(L78&lt;$D$27,"忽略不计",M78)</f>
        <v>忽略不计</v>
      </c>
      <c r="IJ78" s="1"/>
      <c r="IK78" s="1"/>
      <c r="IL78" s="1"/>
    </row>
    <row r="79" customFormat="false" ht="17.15" hidden="false" customHeight="false" outlineLevel="0" collapsed="false">
      <c r="A79" s="58"/>
      <c r="B79" s="55" t="s">
        <v>67</v>
      </c>
      <c r="C79" s="57" t="n">
        <f aca="false">tranvalue(D79/$D$74,2)</f>
        <v>0.44</v>
      </c>
      <c r="D79" s="44" t="n">
        <v>6.53</v>
      </c>
      <c r="E79" s="34" t="n">
        <v>0.0183</v>
      </c>
      <c r="F79" s="59" t="n">
        <f aca="false">IF(E79="n.a.","n.a.",tranvalue(E79/($E$74*$F$74)*100,IF(E79/($E$74*$F$74)*100&lt;0.0001,5,IF(E79/($E$74*$F$74)*100&lt;0.001,4,IF(E79/($E$74*$F$74)*100&lt;0.01,3,IF(E79/($E$74*$F$74)*100&lt;0.1,2,IF(E79/($E$74*$F$74)*100&lt;1,1,0)))))))</f>
        <v>0.01</v>
      </c>
      <c r="G79" s="59" t="str">
        <f aca="false">IF(E79&lt;$D$27,"忽略不计",F79)</f>
        <v>忽略不计</v>
      </c>
      <c r="H79" s="58"/>
      <c r="I79" s="55" t="s">
        <v>67</v>
      </c>
      <c r="J79" s="57" t="n">
        <f aca="false">tranvalue(K79/$K$74,2)</f>
        <v>0.34</v>
      </c>
      <c r="K79" s="44" t="n">
        <v>5.1</v>
      </c>
      <c r="L79" s="36" t="n">
        <v>0.0302</v>
      </c>
      <c r="M79" s="59" t="n">
        <f aca="false">IF(L79="n.a.","n.a.",tranvalue(L79/($L$74*$M$74)*100,IF(L79/($L$74*$M$74)*100&lt;0.0001,5,IF(L79/($L$74*$M$74)*100&lt;0.001,4,IF(L79/($L$74*$M$74)*100&lt;0.01,3,IF(L79/($L$74*$M$74)*100&lt;0.1,2,IF(L79/($L$74*$M$74)*100&lt;1,1,0)))))))</f>
        <v>0.02</v>
      </c>
      <c r="N79" s="59" t="str">
        <f aca="false">IF(L79&lt;$D$27,"忽略不计",M79)</f>
        <v>忽略不计</v>
      </c>
      <c r="IJ79" s="1"/>
      <c r="IK79" s="1"/>
      <c r="IL79" s="1"/>
    </row>
    <row r="80" customFormat="false" ht="17.15" hidden="false" customHeight="false" outlineLevel="0" collapsed="false">
      <c r="A80" s="58"/>
      <c r="B80" s="55" t="s">
        <v>68</v>
      </c>
      <c r="C80" s="57" t="n">
        <f aca="false">tranvalue(D80/$D$74,2)</f>
        <v>0.65</v>
      </c>
      <c r="D80" s="44" t="n">
        <v>9.58</v>
      </c>
      <c r="E80" s="34" t="n">
        <v>0.0859</v>
      </c>
      <c r="F80" s="59" t="n">
        <f aca="false">IF(E80="n.a.","n.a.",tranvalue(E80/($E$74*$F$74)*100,IF(E80/($E$74*$F$74)*100&lt;0.0001,5,IF(E80/($E$74*$F$74)*100&lt;0.001,4,IF(E80/($E$74*$F$74)*100&lt;0.01,3,IF(E80/($E$74*$F$74)*100&lt;0.1,2,IF(E80/($E$74*$F$74)*100&lt;1,1,0)))))))</f>
        <v>0.05</v>
      </c>
      <c r="G80" s="59" t="n">
        <f aca="false">IF(E80&lt;$D$27,"忽略不计",F80)</f>
        <v>0.05</v>
      </c>
      <c r="H80" s="58"/>
      <c r="I80" s="55" t="s">
        <v>68</v>
      </c>
      <c r="J80" s="57" t="n">
        <f aca="false">tranvalue(K80/$K$74,2)</f>
        <v>0.41</v>
      </c>
      <c r="K80" s="44" t="n">
        <v>6.138</v>
      </c>
      <c r="L80" s="36" t="n">
        <v>0.0116</v>
      </c>
      <c r="M80" s="59" t="n">
        <f aca="false">IF(L80="n.a.","n.a.",tranvalue(L80/($L$74*$M$74)*100,IF(L80/($L$74*$M$74)*100&lt;0.0001,5,IF(L80/($L$74*$M$74)*100&lt;0.001,4,IF(L80/($L$74*$M$74)*100&lt;0.01,3,IF(L80/($L$74*$M$74)*100&lt;0.1,2,IF(L80/($L$74*$M$74)*100&lt;1,1,0)))))))</f>
        <v>0.006</v>
      </c>
      <c r="N80" s="59" t="str">
        <f aca="false">IF(L80&lt;$D$27,"忽略不计",M80)</f>
        <v>忽略不计</v>
      </c>
      <c r="IJ80" s="1"/>
      <c r="IK80" s="1"/>
      <c r="IL80" s="1"/>
    </row>
    <row r="81" customFormat="false" ht="17.15" hidden="false" customHeight="false" outlineLevel="0" collapsed="false">
      <c r="A81" s="58"/>
      <c r="B81" s="55" t="s">
        <v>69</v>
      </c>
      <c r="C81" s="57" t="n">
        <f aca="false">tranvalue(D81/$D$74,2)</f>
        <v>0.85</v>
      </c>
      <c r="D81" s="44" t="n">
        <v>12.51</v>
      </c>
      <c r="E81" s="34" t="n">
        <v>0.0264</v>
      </c>
      <c r="F81" s="59" t="n">
        <f aca="false">IF(E81="n.a.","n.a.",tranvalue(E81/($E$74*$F$74)*100,IF(E81/($E$74*$F$74)*100&lt;0.0001,5,IF(E81/($E$74*$F$74)*100&lt;0.001,4,IF(E81/($E$74*$F$74)*100&lt;0.01,3,IF(E81/($E$74*$F$74)*100&lt;0.1,2,IF(E81/($E$74*$F$74)*100&lt;1,1,0)))))))</f>
        <v>0.02</v>
      </c>
      <c r="G81" s="59" t="str">
        <f aca="false">IF(E81&lt;$D$27,"忽略不计",F81)</f>
        <v>忽略不计</v>
      </c>
      <c r="H81" s="58"/>
      <c r="I81" s="55" t="s">
        <v>69</v>
      </c>
      <c r="J81" s="57" t="n">
        <f aca="false">tranvalue(K81/$K$74,2)</f>
        <v>0.44</v>
      </c>
      <c r="K81" s="44" t="n">
        <v>6.545</v>
      </c>
      <c r="L81" s="36" t="n">
        <v>0.0353</v>
      </c>
      <c r="M81" s="59" t="n">
        <f aca="false">IF(L81="n.a.","n.a.",tranvalue(L81/($L$74*$M$74)*100,IF(L81/($L$74*$M$74)*100&lt;0.0001,5,IF(L81/($L$74*$M$74)*100&lt;0.001,4,IF(L81/($L$74*$M$74)*100&lt;0.01,3,IF(L81/($L$74*$M$74)*100&lt;0.1,2,IF(L81/($L$74*$M$74)*100&lt;1,1,0)))))))</f>
        <v>0.02</v>
      </c>
      <c r="N81" s="59" t="str">
        <f aca="false">IF(L81&lt;$D$27,"忽略不计",M81)</f>
        <v>忽略不计</v>
      </c>
      <c r="IJ81" s="1"/>
      <c r="IK81" s="1"/>
      <c r="IL81" s="1"/>
    </row>
    <row r="82" customFormat="false" ht="17.15" hidden="false" customHeight="false" outlineLevel="0" collapsed="false">
      <c r="A82" s="58"/>
      <c r="B82" s="55" t="s">
        <v>70</v>
      </c>
      <c r="C82" s="57" t="n">
        <f aca="false">tranvalue(D82/$D$74,2)</f>
        <v>1.65</v>
      </c>
      <c r="D82" s="44" t="n">
        <v>24.43</v>
      </c>
      <c r="E82" s="34" t="n">
        <v>0.0256</v>
      </c>
      <c r="F82" s="59" t="n">
        <f aca="false">IF(E82="n.a.","n.a.",tranvalue(E82/($E$74*$F$74)*100,IF(E82/($E$74*$F$74)*100&lt;0.0001,5,IF(E82/($E$74*$F$74)*100&lt;0.001,4,IF(E82/($E$74*$F$74)*100&lt;0.01,3,IF(E82/($E$74*$F$74)*100&lt;0.1,2,IF(E82/($E$74*$F$74)*100&lt;1,1,0)))))))</f>
        <v>0.02</v>
      </c>
      <c r="G82" s="59" t="str">
        <f aca="false">IF(E82&lt;$D$27,"忽略不计",F82)</f>
        <v>忽略不计</v>
      </c>
      <c r="H82" s="58"/>
      <c r="I82" s="55" t="s">
        <v>70</v>
      </c>
      <c r="J82" s="57" t="n">
        <f aca="false">tranvalue(K82/$K$74,2)</f>
        <v>0.65</v>
      </c>
      <c r="K82" s="44" t="n">
        <v>9.602</v>
      </c>
      <c r="L82" s="36" t="n">
        <v>0.0838</v>
      </c>
      <c r="M82" s="59" t="n">
        <f aca="false">IF(L82="n.a.","n.a.",tranvalue(L82/($L$74*$M$74)*100,IF(L82/($L$74*$M$74)*100&lt;0.0001,5,IF(L82/($L$74*$M$74)*100&lt;0.001,4,IF(L82/($L$74*$M$74)*100&lt;0.01,3,IF(L82/($L$74*$M$74)*100&lt;0.1,2,IF(L82/($L$74*$M$74)*100&lt;1,1,0)))))))</f>
        <v>0.04</v>
      </c>
      <c r="N82" s="59" t="str">
        <f aca="false">IF(L82&lt;$D$27,"忽略不计",M82)</f>
        <v>忽略不计</v>
      </c>
      <c r="IJ82" s="1"/>
      <c r="IK82" s="1"/>
      <c r="IL82" s="1"/>
    </row>
    <row r="83" customFormat="false" ht="17.15" hidden="false" customHeight="false" outlineLevel="0" collapsed="false">
      <c r="A83" s="58"/>
      <c r="B83" s="55" t="s">
        <v>71</v>
      </c>
      <c r="C83" s="57" t="n">
        <f aca="false">tranvalue(D83/$D$74,2)</f>
        <v>1.74</v>
      </c>
      <c r="D83" s="44" t="n">
        <v>25.79</v>
      </c>
      <c r="E83" s="34" t="n">
        <v>0.0254</v>
      </c>
      <c r="F83" s="59" t="n">
        <f aca="false">IF(E83="n.a.","n.a.",tranvalue(E83/($E$74*$F$74)*100,IF(E83/($E$74*$F$74)*100&lt;0.0001,5,IF(E83/($E$74*$F$74)*100&lt;0.001,4,IF(E83/($E$74*$F$74)*100&lt;0.01,3,IF(E83/($E$74*$F$74)*100&lt;0.1,2,IF(E83/($E$74*$F$74)*100&lt;1,1,0)))))))</f>
        <v>0.02</v>
      </c>
      <c r="G83" s="59" t="str">
        <f aca="false">IF(E83&lt;$D$27,"忽略不计",F83)</f>
        <v>忽略不计</v>
      </c>
      <c r="H83" s="58"/>
      <c r="I83" s="55" t="s">
        <v>71</v>
      </c>
      <c r="J83" s="57" t="n">
        <f aca="false">tranvalue(K83/$K$74,2)</f>
        <v>0.85</v>
      </c>
      <c r="K83" s="44" t="n">
        <v>12.518</v>
      </c>
      <c r="L83" s="36" t="n">
        <v>0.0252</v>
      </c>
      <c r="M83" s="59" t="n">
        <f aca="false">IF(L83="n.a.","n.a.",tranvalue(L83/($L$74*$M$74)*100,IF(L83/($L$74*$M$74)*100&lt;0.0001,5,IF(L83/($L$74*$M$74)*100&lt;0.001,4,IF(L83/($L$74*$M$74)*100&lt;0.01,3,IF(L83/($L$74*$M$74)*100&lt;0.1,2,IF(L83/($L$74*$M$74)*100&lt;1,1,0)))))))</f>
        <v>0.01</v>
      </c>
      <c r="N83" s="59" t="str">
        <f aca="false">IF(L83&lt;$D$27,"忽略不计",M83)</f>
        <v>忽略不计</v>
      </c>
      <c r="IJ83" s="1"/>
      <c r="IK83" s="1"/>
      <c r="IL83" s="1"/>
    </row>
    <row r="84" customFormat="false" ht="17.15" hidden="false" customHeight="false" outlineLevel="0" collapsed="false">
      <c r="A84" s="58"/>
      <c r="B84" s="55" t="s">
        <v>72</v>
      </c>
      <c r="C84" s="57" t="n">
        <f aca="false">tranvalue(D84/$D$74,2)</f>
        <v>1.81</v>
      </c>
      <c r="D84" s="44" t="n">
        <v>26.77</v>
      </c>
      <c r="E84" s="34" t="n">
        <v>0.0541</v>
      </c>
      <c r="F84" s="59" t="n">
        <f aca="false">IF(E84="n.a.","n.a.",tranvalue(E84/($E$74*$F$74)*100,IF(E84/($E$74*$F$74)*100&lt;0.0001,5,IF(E84/($E$74*$F$74)*100&lt;0.001,4,IF(E84/($E$74*$F$74)*100&lt;0.01,3,IF(E84/($E$74*$F$74)*100&lt;0.1,2,IF(E84/($E$74*$F$74)*100&lt;1,1,0)))))))</f>
        <v>0.03</v>
      </c>
      <c r="G84" s="59" t="str">
        <f aca="false">IF(E84&lt;$D$27,"忽略不计",F84)</f>
        <v>忽略不计</v>
      </c>
      <c r="H84" s="58"/>
      <c r="I84" s="55" t="s">
        <v>72</v>
      </c>
      <c r="J84" s="57" t="n">
        <f aca="false">tranvalue(K84/$K$74,2)</f>
        <v>1.65</v>
      </c>
      <c r="K84" s="44" t="n">
        <v>24.413</v>
      </c>
      <c r="L84" s="36" t="n">
        <v>0.0151</v>
      </c>
      <c r="M84" s="59" t="n">
        <f aca="false">IF(L84="n.a.","n.a.",tranvalue(L84/($L$74*$M$74)*100,IF(L84/($L$74*$M$74)*100&lt;0.0001,5,IF(L84/($L$74*$M$74)*100&lt;0.001,4,IF(L84/($L$74*$M$74)*100&lt;0.01,3,IF(L84/($L$74*$M$74)*100&lt;0.1,2,IF(L84/($L$74*$M$74)*100&lt;1,1,0)))))))</f>
        <v>0.008</v>
      </c>
      <c r="N84" s="59" t="str">
        <f aca="false">IF(L84&lt;$D$27,"忽略不计",M84)</f>
        <v>忽略不计</v>
      </c>
      <c r="IJ84" s="1"/>
      <c r="IK84" s="1"/>
      <c r="IL84" s="1"/>
    </row>
    <row r="85" customFormat="false" ht="17.15" hidden="false" customHeight="false" outlineLevel="0" collapsed="false">
      <c r="A85" s="58"/>
      <c r="B85" s="55" t="s">
        <v>73</v>
      </c>
      <c r="C85" s="57" t="n">
        <f aca="false">tranvalue(D85/$D$74,2)</f>
        <v>1.84</v>
      </c>
      <c r="D85" s="44" t="n">
        <v>27.147</v>
      </c>
      <c r="E85" s="36" t="n">
        <v>0.0654</v>
      </c>
      <c r="F85" s="59" t="n">
        <f aca="false">IF(E85="n.a.","n.a.",tranvalue(E85/($E$74*$F$74)*100,IF(E85/($E$74*$F$74)*100&lt;0.0001,5,IF(E85/($E$74*$F$74)*100&lt;0.001,4,IF(E85/($E$74*$F$74)*100&lt;0.01,3,IF(E85/($E$74*$F$74)*100&lt;0.1,2,IF(E85/($E$74*$F$74)*100&lt;1,1,0)))))))</f>
        <v>0.04</v>
      </c>
      <c r="G85" s="59" t="str">
        <f aca="false">IF(E85&lt;$D$27,"忽略不计",F85)</f>
        <v>忽略不计</v>
      </c>
      <c r="H85" s="58"/>
      <c r="I85" s="55" t="s">
        <v>73</v>
      </c>
      <c r="J85" s="57" t="n">
        <f aca="false">tranvalue(K85/$K$74,2)</f>
        <v>1.81</v>
      </c>
      <c r="K85" s="44" t="n">
        <v>26.778</v>
      </c>
      <c r="L85" s="36" t="n">
        <v>0.0477</v>
      </c>
      <c r="M85" s="59" t="n">
        <f aca="false">IF(L85="n.a.","n.a.",tranvalue(L85/($L$74*$M$74)*100,IF(L85/($L$74*$M$74)*100&lt;0.0001,5,IF(L85/($L$74*$M$74)*100&lt;0.001,4,IF(L85/($L$74*$M$74)*100&lt;0.01,3,IF(L85/($L$74*$M$74)*100&lt;0.1,2,IF(L85/($L$74*$M$74)*100&lt;1,1,0)))))))</f>
        <v>0.02</v>
      </c>
      <c r="N85" s="59" t="str">
        <f aca="false">IF(L85&lt;$D$27,"忽略不计",M85)</f>
        <v>忽略不计</v>
      </c>
      <c r="IJ85" s="1"/>
      <c r="IK85" s="1"/>
      <c r="IL85" s="1"/>
    </row>
    <row r="86" customFormat="false" ht="17.15" hidden="false" customHeight="false" outlineLevel="0" collapsed="false">
      <c r="A86" s="58"/>
      <c r="B86" s="55" t="s">
        <v>74</v>
      </c>
      <c r="C86" s="57" t="n">
        <f aca="false">tranvalue(D86/$D$74,2)</f>
        <v>1.87</v>
      </c>
      <c r="D86" s="44" t="n">
        <v>27.695</v>
      </c>
      <c r="E86" s="36" t="n">
        <v>0.0482</v>
      </c>
      <c r="F86" s="59" t="n">
        <f aca="false">IF(E86="n.a.","n.a.",tranvalue(E86/($E$74*$F$74)*100,IF(E86/($E$74*$F$74)*100&lt;0.0001,5,IF(E86/($E$74*$F$74)*100&lt;0.001,4,IF(E86/($E$74*$F$74)*100&lt;0.01,3,IF(E86/($E$74*$F$74)*100&lt;0.1,2,IF(E86/($E$74*$F$74)*100&lt;1,1,0)))))))</f>
        <v>0.03</v>
      </c>
      <c r="G86" s="59" t="str">
        <f aca="false">IF(E86&lt;$D$27,"忽略不计",F86)</f>
        <v>忽略不计</v>
      </c>
      <c r="H86" s="58"/>
      <c r="I86" s="55" t="s">
        <v>74</v>
      </c>
      <c r="J86" s="57" t="n">
        <f aca="false">tranvalue(K86/$K$74,2)</f>
        <v>1.83</v>
      </c>
      <c r="K86" s="44" t="n">
        <v>27.153</v>
      </c>
      <c r="L86" s="36" t="n">
        <v>0.0529</v>
      </c>
      <c r="M86" s="59" t="n">
        <f aca="false">IF(L86="n.a.","n.a.",tranvalue(L86/($L$74*$M$74)*100,IF(L86/($L$74*$M$74)*100&lt;0.0001,5,IF(L86/($L$74*$M$74)*100&lt;0.001,4,IF(L86/($L$74*$M$74)*100&lt;0.01,3,IF(L86/($L$74*$M$74)*100&lt;0.1,2,IF(L86/($L$74*$M$74)*100&lt;1,1,0)))))))</f>
        <v>0.03</v>
      </c>
      <c r="N86" s="59" t="str">
        <f aca="false">IF(L86&lt;$D$27,"忽略不计",M86)</f>
        <v>忽略不计</v>
      </c>
      <c r="IJ86" s="1"/>
      <c r="IK86" s="1"/>
      <c r="IL86" s="1"/>
    </row>
    <row r="87" customFormat="false" ht="17.15" hidden="false" customHeight="false" outlineLevel="0" collapsed="false">
      <c r="A87" s="58"/>
      <c r="B87" s="55" t="s">
        <v>75</v>
      </c>
      <c r="C87" s="57" t="n">
        <f aca="false">tranvalue(D87/$D$74,2)</f>
        <v>0</v>
      </c>
      <c r="D87" s="44"/>
      <c r="E87" s="36"/>
      <c r="F87" s="59" t="n">
        <f aca="false">IF(E87="n.a.","n.a.",tranvalue(E87/($E$74*$F$74)*100,IF(E87/($E$74*$F$74)*100&lt;0.0001,5,IF(E87/($E$74*$F$74)*100&lt;0.001,4,IF(E87/($E$74*$F$74)*100&lt;0.01,3,IF(E87/($E$74*$F$74)*100&lt;0.1,2,IF(E87/($E$74*$F$74)*100&lt;1,1,0)))))))</f>
        <v>0</v>
      </c>
      <c r="G87" s="59" t="str">
        <f aca="false">IF(E87&lt;$D$27,"忽略不计",F87)</f>
        <v>忽略不计</v>
      </c>
      <c r="H87" s="58"/>
      <c r="I87" s="55" t="s">
        <v>75</v>
      </c>
      <c r="J87" s="57" t="n">
        <f aca="false">tranvalue(K87/$K$74,2)</f>
        <v>1.87</v>
      </c>
      <c r="K87" s="44" t="n">
        <v>27.718</v>
      </c>
      <c r="L87" s="36" t="n">
        <v>0.0561</v>
      </c>
      <c r="M87" s="59" t="n">
        <f aca="false">IF(L87="n.a.","n.a.",tranvalue(L87/($L$74*$M$74)*100,IF(L87/($L$74*$M$74)*100&lt;0.0001,5,IF(L87/($L$74*$M$74)*100&lt;0.001,4,IF(L87/($L$74*$M$74)*100&lt;0.01,3,IF(L87/($L$74*$M$74)*100&lt;0.1,2,IF(L87/($L$74*$M$74)*100&lt;1,1,0)))))))</f>
        <v>0.03</v>
      </c>
      <c r="N87" s="59" t="str">
        <f aca="false">IF(L87&lt;$D$27,"忽略不计",M87)</f>
        <v>忽略不计</v>
      </c>
      <c r="IJ87" s="1"/>
      <c r="IK87" s="1"/>
      <c r="IL87" s="1"/>
    </row>
    <row r="88" customFormat="false" ht="17.15" hidden="false" customHeight="false" outlineLevel="0" collapsed="false">
      <c r="A88" s="58"/>
      <c r="B88" s="55" t="s">
        <v>76</v>
      </c>
      <c r="C88" s="57" t="n">
        <f aca="false">tranvalue(D88/$D$74,2)</f>
        <v>0</v>
      </c>
      <c r="D88" s="44"/>
      <c r="E88" s="36"/>
      <c r="F88" s="59" t="n">
        <f aca="false">IF(E88="n.a.","n.a.",tranvalue(E88/($E$74*$F$74)*100,IF(E88/($E$74*$F$74)*100&lt;0.0001,5,IF(E88/($E$74*$F$74)*100&lt;0.001,4,IF(E88/($E$74*$F$74)*100&lt;0.01,3,IF(E88/($E$74*$F$74)*100&lt;0.1,2,IF(E88/($E$74*$F$74)*100&lt;1,1,0)))))))</f>
        <v>0</v>
      </c>
      <c r="G88" s="59" t="str">
        <f aca="false">IF(E88&lt;$D$27,"忽略不计",F88)</f>
        <v>忽略不计</v>
      </c>
      <c r="H88" s="58"/>
      <c r="I88" s="55" t="s">
        <v>76</v>
      </c>
      <c r="J88" s="57" t="n">
        <f aca="false">tranvalue(K88/$K$74,2)</f>
        <v>0</v>
      </c>
      <c r="K88" s="44"/>
      <c r="L88" s="36"/>
      <c r="M88" s="59" t="n">
        <f aca="false">IF(L88="n.a.","n.a.",tranvalue(L88/($L$74*$M$74)*100,IF(L88/($L$74*$M$74)*100&lt;0.0001,5,IF(L88/($L$74*$M$74)*100&lt;0.001,4,IF(L88/($L$74*$M$74)*100&lt;0.01,3,IF(L88/($L$74*$M$74)*100&lt;0.1,2,IF(L88/($L$74*$M$74)*100&lt;1,1,0)))))))</f>
        <v>0</v>
      </c>
      <c r="N88" s="59" t="str">
        <f aca="false">IF(L88&lt;$D$27,"忽略不计",M88)</f>
        <v>忽略不计</v>
      </c>
      <c r="IJ88" s="1"/>
      <c r="IK88" s="1"/>
      <c r="IL88" s="1"/>
    </row>
    <row r="89" customFormat="false" ht="17.15" hidden="false" customHeight="false" outlineLevel="0" collapsed="false">
      <c r="A89" s="58"/>
      <c r="B89" s="55" t="s">
        <v>77</v>
      </c>
      <c r="C89" s="57" t="n">
        <f aca="false">tranvalue(D89/$D$74,2)</f>
        <v>0</v>
      </c>
      <c r="D89" s="44"/>
      <c r="E89" s="36"/>
      <c r="F89" s="59" t="n">
        <f aca="false">IF(E89="n.a.","n.a.",tranvalue(E89/($E$74*$F$74)*100,IF(E89/($E$74*$F$74)*100&lt;0.0001,5,IF(E89/($E$74*$F$74)*100&lt;0.001,4,IF(E89/($E$74*$F$74)*100&lt;0.01,3,IF(E89/($E$74*$F$74)*100&lt;0.1,2,IF(E89/($E$74*$F$74)*100&lt;1,1,0)))))))</f>
        <v>0</v>
      </c>
      <c r="G89" s="59" t="str">
        <f aca="false">IF(E89&lt;$D$27,"忽略不计",F89)</f>
        <v>忽略不计</v>
      </c>
      <c r="H89" s="58"/>
      <c r="I89" s="55" t="s">
        <v>77</v>
      </c>
      <c r="J89" s="57" t="n">
        <f aca="false">tranvalue(K89/$K$74,2)</f>
        <v>0</v>
      </c>
      <c r="K89" s="44"/>
      <c r="L89" s="36"/>
      <c r="M89" s="59" t="n">
        <f aca="false">IF(L89="n.a.","n.a.",tranvalue(L89/($L$74*$M$74)*100,IF(L89/($L$74*$M$74)*100&lt;0.0001,5,IF(L89/($L$74*$M$74)*100&lt;0.001,4,IF(L89/($L$74*$M$74)*100&lt;0.01,3,IF(L89/($L$74*$M$74)*100&lt;0.1,2,IF(L89/($L$74*$M$74)*100&lt;1,1,0)))))))</f>
        <v>0</v>
      </c>
      <c r="N89" s="59" t="str">
        <f aca="false">IF(L89&lt;$D$27,"忽略不计",M89)</f>
        <v>忽略不计</v>
      </c>
      <c r="IJ89" s="1"/>
      <c r="IK89" s="1"/>
      <c r="IL89" s="1"/>
    </row>
    <row r="90" customFormat="false" ht="17.15" hidden="false" customHeight="false" outlineLevel="0" collapsed="false">
      <c r="A90" s="58"/>
      <c r="B90" s="55" t="s">
        <v>78</v>
      </c>
      <c r="C90" s="57" t="n">
        <f aca="false">tranvalue(D90/$D$74,2)</f>
        <v>0</v>
      </c>
      <c r="D90" s="44"/>
      <c r="E90" s="36"/>
      <c r="F90" s="59" t="n">
        <f aca="false">IF(E90="n.a.","n.a.",tranvalue(E90/($E$74*$F$74)*100,IF(E90/($E$74*$F$74)*100&lt;0.0001,5,IF(E90/($E$74*$F$74)*100&lt;0.001,4,IF(E90/($E$74*$F$74)*100&lt;0.01,3,IF(E90/($E$74*$F$74)*100&lt;0.1,2,IF(E90/($E$74*$F$74)*100&lt;1,1,0)))))))</f>
        <v>0</v>
      </c>
      <c r="G90" s="59" t="str">
        <f aca="false">IF(E90&lt;$D$27,"忽略不计",F90)</f>
        <v>忽略不计</v>
      </c>
      <c r="H90" s="58"/>
      <c r="I90" s="55" t="s">
        <v>78</v>
      </c>
      <c r="J90" s="57" t="n">
        <f aca="false">tranvalue(K90/$K$74,2)</f>
        <v>0</v>
      </c>
      <c r="K90" s="44"/>
      <c r="L90" s="36"/>
      <c r="M90" s="59" t="n">
        <f aca="false">IF(L90="n.a.","n.a.",tranvalue(L90/($L$74*$M$74)*100,IF(L90/($L$74*$M$74)*100&lt;0.0001,5,IF(L90/($L$74*$M$74)*100&lt;0.001,4,IF(L90/($L$74*$M$74)*100&lt;0.01,3,IF(L90/($L$74*$M$74)*100&lt;0.1,2,IF(L90/($L$74*$M$74)*100&lt;1,1,0)))))))</f>
        <v>0</v>
      </c>
      <c r="N90" s="59" t="str">
        <f aca="false">IF(L90&lt;$D$27,"忽略不计",M90)</f>
        <v>忽略不计</v>
      </c>
      <c r="IJ90" s="1"/>
      <c r="IK90" s="1"/>
      <c r="IL90" s="1"/>
    </row>
    <row r="91" customFormat="false" ht="17.15" hidden="false" customHeight="false" outlineLevel="0" collapsed="false">
      <c r="A91" s="58"/>
      <c r="B91" s="55" t="s">
        <v>79</v>
      </c>
      <c r="C91" s="57" t="n">
        <f aca="false">tranvalue(D91/$D$74,2)</f>
        <v>0</v>
      </c>
      <c r="D91" s="44"/>
      <c r="E91" s="36"/>
      <c r="F91" s="59" t="n">
        <f aca="false">IF(E91="n.a.","n.a.",tranvalue(E91/($E$74*$F$74)*100,IF(E91/($E$74*$F$74)*100&lt;0.0001,5,IF(E91/($E$74*$F$74)*100&lt;0.001,4,IF(E91/($E$74*$F$74)*100&lt;0.01,3,IF(E91/($E$74*$F$74)*100&lt;0.1,2,IF(E91/($E$74*$F$74)*100&lt;1,1,0)))))))</f>
        <v>0</v>
      </c>
      <c r="G91" s="59" t="str">
        <f aca="false">IF(E91&lt;$D$27,"忽略不计",F91)</f>
        <v>忽略不计</v>
      </c>
      <c r="H91" s="58"/>
      <c r="I91" s="55" t="s">
        <v>79</v>
      </c>
      <c r="J91" s="57" t="n">
        <f aca="false">tranvalue(K91/$K$74,2)</f>
        <v>0</v>
      </c>
      <c r="K91" s="44"/>
      <c r="L91" s="36"/>
      <c r="M91" s="59" t="n">
        <f aca="false">IF(L91="n.a.","n.a.",tranvalue(L91/($L$74*$M$74)*100,IF(L91/($L$74*$M$74)*100&lt;0.0001,5,IF(L91/($L$74*$M$74)*100&lt;0.001,4,IF(L91/($L$74*$M$74)*100&lt;0.01,3,IF(L91/($L$74*$M$74)*100&lt;0.1,2,IF(L91/($L$74*$M$74)*100&lt;1,1,0)))))))</f>
        <v>0</v>
      </c>
      <c r="N91" s="59" t="str">
        <f aca="false">IF(L91&lt;$D$27,"忽略不计",M91)</f>
        <v>忽略不计</v>
      </c>
      <c r="IJ91" s="1"/>
      <c r="IK91" s="1"/>
      <c r="IL91" s="1"/>
    </row>
    <row r="92" customFormat="false" ht="17.15" hidden="false" customHeight="false" outlineLevel="0" collapsed="false">
      <c r="A92" s="58"/>
      <c r="B92" s="55" t="s">
        <v>80</v>
      </c>
      <c r="C92" s="57" t="n">
        <f aca="false">tranvalue(D92/$D$74,2)</f>
        <v>0</v>
      </c>
      <c r="D92" s="44"/>
      <c r="E92" s="36"/>
      <c r="F92" s="59" t="n">
        <f aca="false">IF(E92="n.a.","n.a.",tranvalue(E92/($E$74*$F$74)*100,IF(E92/($E$74*$F$74)*100&lt;0.0001,5,IF(E92/($E$74*$F$74)*100&lt;0.001,4,IF(E92/($E$74*$F$74)*100&lt;0.01,3,IF(E92/($E$74*$F$74)*100&lt;0.1,2,IF(E92/($E$74*$F$74)*100&lt;1,1,0)))))))</f>
        <v>0</v>
      </c>
      <c r="G92" s="59" t="str">
        <f aca="false">IF(E92&lt;$D$27,"忽略不计",F92)</f>
        <v>忽略不计</v>
      </c>
      <c r="H92" s="58"/>
      <c r="I92" s="55" t="s">
        <v>80</v>
      </c>
      <c r="J92" s="57" t="n">
        <f aca="false">tranvalue(K92/$K$74,2)</f>
        <v>0</v>
      </c>
      <c r="K92" s="44"/>
      <c r="L92" s="36"/>
      <c r="M92" s="59" t="n">
        <f aca="false">IF(L92="n.a.","n.a.",tranvalue(L92/($L$74*$M$74)*100,IF(L92/($L$74*$M$74)*100&lt;0.0001,5,IF(L92/($L$74*$M$74)*100&lt;0.001,4,IF(L92/($L$74*$M$74)*100&lt;0.01,3,IF(L92/($L$74*$M$74)*100&lt;0.1,2,IF(L92/($L$74*$M$74)*100&lt;1,1,0)))))))</f>
        <v>0</v>
      </c>
      <c r="N92" s="59" t="str">
        <f aca="false">IF(L92&lt;$D$27,"忽略不计",M92)</f>
        <v>忽略不计</v>
      </c>
      <c r="IJ92" s="1"/>
      <c r="IK92" s="1"/>
      <c r="IL92" s="1"/>
    </row>
    <row r="93" customFormat="false" ht="17.15" hidden="false" customHeight="false" outlineLevel="0" collapsed="false">
      <c r="A93" s="58"/>
      <c r="B93" s="55" t="s">
        <v>81</v>
      </c>
      <c r="C93" s="57" t="n">
        <f aca="false">tranvalue(D93/$D$74,2)</f>
        <v>0</v>
      </c>
      <c r="D93" s="44"/>
      <c r="E93" s="36"/>
      <c r="F93" s="59" t="n">
        <f aca="false">IF(E93="n.a.","n.a.",tranvalue(E93/($E$74*$F$74)*100,IF(E93/($E$74*$F$74)*100&lt;0.0001,5,IF(E93/($E$74*$F$74)*100&lt;0.001,4,IF(E93/($E$74*$F$74)*100&lt;0.01,3,IF(E93/($E$74*$F$74)*100&lt;0.1,2,IF(E93/($E$74*$F$74)*100&lt;1,1,0)))))))</f>
        <v>0</v>
      </c>
      <c r="G93" s="59" t="str">
        <f aca="false">IF(E93&lt;$D$27,"忽略不计",F93)</f>
        <v>忽略不计</v>
      </c>
      <c r="H93" s="58"/>
      <c r="I93" s="55" t="s">
        <v>81</v>
      </c>
      <c r="J93" s="57" t="n">
        <f aca="false">tranvalue(K93/$K$74,2)</f>
        <v>0</v>
      </c>
      <c r="K93" s="44"/>
      <c r="L93" s="36"/>
      <c r="M93" s="59" t="n">
        <f aca="false">IF(L93="n.a.","n.a.",tranvalue(L93/($L$74*$M$74)*100,IF(L93/($L$74*$M$74)*100&lt;0.0001,5,IF(L93/($L$74*$M$74)*100&lt;0.001,4,IF(L93/($L$74*$M$74)*100&lt;0.01,3,IF(L93/($L$74*$M$74)*100&lt;0.1,2,IF(L93/($L$74*$M$74)*100&lt;1,1,0)))))))</f>
        <v>0</v>
      </c>
      <c r="N93" s="59" t="str">
        <f aca="false">IF(L93&lt;$D$27,"忽略不计",M93)</f>
        <v>忽略不计</v>
      </c>
      <c r="IJ93" s="1"/>
      <c r="IK93" s="1"/>
      <c r="IL93" s="1"/>
    </row>
    <row r="94" customFormat="false" ht="17.15" hidden="false" customHeight="false" outlineLevel="0" collapsed="false">
      <c r="A94" s="58"/>
      <c r="B94" s="55" t="s">
        <v>82</v>
      </c>
      <c r="C94" s="57" t="n">
        <f aca="false">tranvalue(D94/$D$74,2)</f>
        <v>0</v>
      </c>
      <c r="D94" s="44"/>
      <c r="E94" s="36"/>
      <c r="F94" s="59" t="n">
        <f aca="false">IF(E94="n.a.","n.a.",tranvalue(E94/($E$74*$F$74)*100,IF(E94/($E$74*$F$74)*100&lt;0.0001,5,IF(E94/($E$74*$F$74)*100&lt;0.001,4,IF(E94/($E$74*$F$74)*100&lt;0.01,3,IF(E94/($E$74*$F$74)*100&lt;0.1,2,IF(E94/($E$74*$F$74)*100&lt;1,1,0)))))))</f>
        <v>0</v>
      </c>
      <c r="G94" s="59" t="str">
        <f aca="false">IF(E94&lt;$D$27,"忽略不计",F94)</f>
        <v>忽略不计</v>
      </c>
      <c r="H94" s="58"/>
      <c r="I94" s="55" t="s">
        <v>82</v>
      </c>
      <c r="J94" s="57" t="n">
        <f aca="false">tranvalue(K94/$K$74,2)</f>
        <v>0</v>
      </c>
      <c r="K94" s="44"/>
      <c r="L94" s="36"/>
      <c r="M94" s="59" t="n">
        <f aca="false">IF(L94="n.a.","n.a.",tranvalue(L94/($L$74*$M$74)*100,IF(L94/($L$74*$M$74)*100&lt;0.0001,5,IF(L94/($L$74*$M$74)*100&lt;0.001,4,IF(L94/($L$74*$M$74)*100&lt;0.01,3,IF(L94/($L$74*$M$74)*100&lt;0.1,2,IF(L94/($L$74*$M$74)*100&lt;1,1,0)))))))</f>
        <v>0</v>
      </c>
      <c r="N94" s="59" t="str">
        <f aca="false">IF(L94&lt;$D$27,"忽略不计",M94)</f>
        <v>忽略不计</v>
      </c>
      <c r="IJ94" s="1"/>
      <c r="IK94" s="1"/>
      <c r="IL94" s="1"/>
    </row>
    <row r="95" customFormat="false" ht="17.15" hidden="false" customHeight="false" outlineLevel="0" collapsed="false">
      <c r="A95" s="58"/>
      <c r="B95" s="55" t="s">
        <v>83</v>
      </c>
      <c r="C95" s="57" t="n">
        <f aca="false">tranvalue(D95/$D$74,2)</f>
        <v>0</v>
      </c>
      <c r="D95" s="44"/>
      <c r="E95" s="36"/>
      <c r="F95" s="59" t="n">
        <f aca="false">IF(E95="n.a.","n.a.",tranvalue(E95/($E$74*$F$74)*100,IF(E95/($E$74*$F$74)*100&lt;0.0001,5,IF(E95/($E$74*$F$74)*100&lt;0.001,4,IF(E95/($E$74*$F$74)*100&lt;0.01,3,IF(E95/($E$74*$F$74)*100&lt;0.1,2,IF(E95/($E$74*$F$74)*100&lt;1,1,0)))))))</f>
        <v>0</v>
      </c>
      <c r="G95" s="59" t="str">
        <f aca="false">IF(E95&lt;$D$27,"忽略不计",F95)</f>
        <v>忽略不计</v>
      </c>
      <c r="H95" s="58"/>
      <c r="I95" s="55" t="s">
        <v>83</v>
      </c>
      <c r="J95" s="57" t="n">
        <f aca="false">tranvalue(K95/$K$74,2)</f>
        <v>0</v>
      </c>
      <c r="K95" s="44"/>
      <c r="L95" s="36"/>
      <c r="M95" s="59" t="n">
        <f aca="false">IF(L95="n.a.","n.a.",tranvalue(L95/($L$74*$M$74)*100,IF(L95/($L$74*$M$74)*100&lt;0.0001,5,IF(L95/($L$74*$M$74)*100&lt;0.001,4,IF(L95/($L$74*$M$74)*100&lt;0.01,3,IF(L95/($L$74*$M$74)*100&lt;0.1,2,IF(L95/($L$74*$M$74)*100&lt;1,1,0)))))))</f>
        <v>0</v>
      </c>
      <c r="N95" s="59" t="str">
        <f aca="false">IF(L95&lt;$D$27,"忽略不计",M95)</f>
        <v>忽略不计</v>
      </c>
      <c r="IJ95" s="1"/>
      <c r="IK95" s="1"/>
      <c r="IL95" s="1"/>
    </row>
    <row r="96" customFormat="false" ht="17.15" hidden="false" customHeight="false" outlineLevel="0" collapsed="false">
      <c r="A96" s="58"/>
      <c r="B96" s="55" t="s">
        <v>84</v>
      </c>
      <c r="C96" s="57" t="n">
        <f aca="false">tranvalue(D96/$D$74,2)</f>
        <v>0</v>
      </c>
      <c r="D96" s="60"/>
      <c r="E96" s="62"/>
      <c r="F96" s="59" t="n">
        <f aca="false">IF(E96="n.a.","n.a.",tranvalue(E96/($E$74*$F$74)*100,IF(E96/($E$74*$F$74)*100&lt;0.0001,5,IF(E96/($E$74*$F$74)*100&lt;0.001,4,IF(E96/($E$74*$F$74)*100&lt;0.01,3,IF(E96/($E$74*$F$74)*100&lt;0.1,2,IF(E96/($E$74*$F$74)*100&lt;1,1,0)))))))</f>
        <v>0</v>
      </c>
      <c r="G96" s="59" t="str">
        <f aca="false">IF(E96&lt;$D$27,"忽略不计",F96)</f>
        <v>忽略不计</v>
      </c>
      <c r="H96" s="58"/>
      <c r="I96" s="55" t="s">
        <v>84</v>
      </c>
      <c r="J96" s="57" t="n">
        <f aca="false">tranvalue(K96/$K$74,2)</f>
        <v>0</v>
      </c>
      <c r="K96" s="60"/>
      <c r="L96" s="62"/>
      <c r="M96" s="59" t="n">
        <f aca="false">IF(L96="n.a.","n.a.",tranvalue(L96/($L$74*$M$74)*100,IF(L96/($L$74*$M$74)*100&lt;0.0001,5,IF(L96/($L$74*$M$74)*100&lt;0.001,4,IF(L96/($L$74*$M$74)*100&lt;0.01,3,IF(L96/($L$74*$M$74)*100&lt;0.1,2,IF(L96/($L$74*$M$74)*100&lt;1,1,0)))))))</f>
        <v>0</v>
      </c>
      <c r="N96" s="59" t="str">
        <f aca="false">IF(L96&lt;$D$27,"忽略不计",M96)</f>
        <v>忽略不计</v>
      </c>
      <c r="IJ96" s="1"/>
      <c r="IK96" s="1"/>
      <c r="IL96" s="1"/>
    </row>
    <row r="97" customFormat="false" ht="29.1" hidden="false" customHeight="true" outlineLevel="0" collapsed="false">
      <c r="A97" s="55" t="s">
        <v>85</v>
      </c>
      <c r="B97" s="56" t="s">
        <v>86</v>
      </c>
      <c r="C97" s="56"/>
      <c r="D97" s="56"/>
      <c r="E97" s="56"/>
      <c r="F97" s="63" t="n">
        <f aca="false">MAX(F77:F96)</f>
        <v>0.05</v>
      </c>
      <c r="G97" s="59" t="n">
        <f aca="false">IF(MAX(E77:E96)&lt;$D$27,"忽略不计",F97)</f>
        <v>0.05</v>
      </c>
      <c r="H97" s="55" t="s">
        <v>85</v>
      </c>
      <c r="I97" s="56" t="s">
        <v>86</v>
      </c>
      <c r="J97" s="56"/>
      <c r="K97" s="56"/>
      <c r="L97" s="56"/>
      <c r="M97" s="63" t="n">
        <f aca="false">MAX(M77:M96)</f>
        <v>0.04</v>
      </c>
      <c r="N97" s="59" t="str">
        <f aca="false">IF(MAX(L77:L96)&lt;$D$27,"忽略不计",M97)</f>
        <v>忽略不计</v>
      </c>
      <c r="IJ97" s="1"/>
    </row>
    <row r="98" customFormat="false" ht="17.15" hidden="false" customHeight="true" outlineLevel="0" collapsed="false">
      <c r="A98" s="55"/>
      <c r="B98" s="56" t="s">
        <v>87</v>
      </c>
      <c r="C98" s="56"/>
      <c r="D98" s="56"/>
      <c r="E98" s="56"/>
      <c r="F98" s="63" t="n">
        <f aca="false">IF(SUM(F76:F96)=0,0,tranvalue(SUM(F76:F96),IF(SUM(F76:F96)&lt;0.0001,6,IF(SUM(F76:F96)&lt;0.001,5,IF(SUM(F76:F96)&lt;0.01,4,IF(SUM(F76:F96)&lt;0.1,3,IF(SUM(F76:F96)&lt;1,2,1)))))))</f>
        <v>0.3</v>
      </c>
      <c r="G98" s="63"/>
      <c r="H98" s="55"/>
      <c r="I98" s="56" t="s">
        <v>87</v>
      </c>
      <c r="J98" s="56"/>
      <c r="K98" s="56"/>
      <c r="L98" s="56"/>
      <c r="M98" s="63" t="n">
        <f aca="false">IF(SUM(M76:M96)=0,0,tranvalue(SUM(M76:M96),IF(SUM(M76:M96)&lt;0.0001,6,IF(SUM(M76:M96)&lt;0.001,5,IF(SUM(M76:M96)&lt;0.01,4,IF(SUM(M76:M96)&lt;0.1,3,IF(SUM(M76:M96)&lt;1,2,1)))))))</f>
        <v>0.33</v>
      </c>
      <c r="N98" s="63"/>
      <c r="IJ98" s="1"/>
    </row>
    <row r="99" customFormat="false" ht="17.15" hidden="false" customHeight="true" outlineLevel="0" collapsed="false">
      <c r="A99" s="55"/>
      <c r="B99" s="56" t="s">
        <v>88</v>
      </c>
      <c r="C99" s="56"/>
      <c r="D99" s="56"/>
      <c r="E99" s="56"/>
      <c r="F99" s="63" t="n">
        <f aca="false">IF(SUM(G76:G96)=0,"0",tranvalue(SUM(G76:G96),IF(SUM(G76:G96)&lt;0.0001,6,IF(SUM(G76:G96)&lt;0.001,5,IF(SUM(G76:G96)&lt;0.01,4,IF(SUM(G76:G96)&lt;0.1,3,IF(SUM(G76:G96)&lt;1,2,1)))))))</f>
        <v>0.05</v>
      </c>
      <c r="G99" s="63"/>
      <c r="H99" s="55"/>
      <c r="I99" s="56" t="s">
        <v>88</v>
      </c>
      <c r="J99" s="56"/>
      <c r="K99" s="56"/>
      <c r="L99" s="56"/>
      <c r="M99" s="63" t="n">
        <f aca="false">IF(SUM(N76:N96)=0,"0",tranvalue(SUM(N76:N96),IF(SUM(N76:N96)&lt;0.0001,6,IF(SUM(N76:N96)&lt;0.001,5,IF(SUM(N76:N96)&lt;0.01,4,IF(SUM(N76:N96)&lt;0.1,3,IF(SUM(N76:N96)&lt;1,2,1)))))))</f>
        <v>0.1</v>
      </c>
      <c r="N99" s="63"/>
      <c r="IJ99" s="1"/>
    </row>
    <row r="100" customFormat="false" ht="13.8" hidden="false" customHeight="false" outlineLevel="0" collapsed="false">
      <c r="IJ100" s="1"/>
    </row>
    <row r="101" customFormat="false" ht="14.25" hidden="false" customHeight="true" outlineLevel="0" collapsed="false">
      <c r="B101" s="1" t="s">
        <v>89</v>
      </c>
      <c r="F101" s="64"/>
      <c r="IJ101" s="1"/>
    </row>
    <row r="102" customFormat="false" ht="13.8" hidden="false" customHeight="false" outlineLevel="0" collapsed="false">
      <c r="IJ102" s="1"/>
    </row>
    <row r="103" customFormat="false" ht="13.8" hidden="false" customHeight="false" outlineLevel="0" collapsed="false">
      <c r="I103" s="66"/>
      <c r="IJ103" s="1"/>
    </row>
    <row r="104" customFormat="false" ht="13.8" hidden="false" customHeight="false" outlineLevel="0" collapsed="false">
      <c r="I104" s="66"/>
      <c r="IJ104" s="1"/>
    </row>
    <row r="105" customFormat="false" ht="13.8" hidden="false" customHeight="false" outlineLevel="0" collapsed="false">
      <c r="I105" s="66"/>
      <c r="IJ105" s="1"/>
    </row>
    <row r="106" customFormat="false" ht="13.8" hidden="false" customHeight="false" outlineLevel="0" collapsed="false">
      <c r="B106" s="1" t="s">
        <v>90</v>
      </c>
      <c r="I106" s="66"/>
      <c r="IJ106" s="1"/>
    </row>
    <row r="107" customFormat="false" ht="13.8" hidden="false" customHeight="false" outlineLevel="0" collapsed="false">
      <c r="I107" s="66"/>
      <c r="IJ107" s="1"/>
    </row>
    <row r="108" customFormat="false" ht="13.8" hidden="false" customHeight="false" outlineLevel="0" collapsed="false">
      <c r="IJ108" s="1"/>
    </row>
    <row r="109" customFormat="false" ht="13.8" hidden="false" customHeight="false" outlineLevel="0" collapsed="false">
      <c r="IJ109" s="1"/>
    </row>
    <row r="110" customFormat="false" ht="17.15" hidden="false" customHeight="false" outlineLevel="0" collapsed="false">
      <c r="A110" s="1" t="s">
        <v>91</v>
      </c>
      <c r="D110" s="2"/>
      <c r="H110" s="1" t="s">
        <v>92</v>
      </c>
      <c r="IJ110" s="1"/>
    </row>
    <row r="113" customFormat="false" ht="16.65" hidden="false" customHeight="false" outlineLevel="0" collapsed="false">
      <c r="A113" s="42" t="s">
        <v>50</v>
      </c>
      <c r="B113" s="22" t="s">
        <v>95</v>
      </c>
      <c r="C113" s="22"/>
      <c r="D113" s="22"/>
      <c r="E113" s="22"/>
      <c r="F113" s="22"/>
      <c r="G113" s="22"/>
      <c r="H113" s="42" t="s">
        <v>50</v>
      </c>
      <c r="I113" s="22" t="s">
        <v>96</v>
      </c>
      <c r="J113" s="22"/>
      <c r="K113" s="22"/>
      <c r="L113" s="22"/>
      <c r="M113" s="22"/>
      <c r="N113" s="22"/>
      <c r="IJ113" s="1"/>
    </row>
    <row r="114" customFormat="false" ht="43.5" hidden="false" customHeight="true" outlineLevel="0" collapsed="false">
      <c r="A114" s="52" t="s">
        <v>23</v>
      </c>
      <c r="B114" s="53" t="s">
        <v>53</v>
      </c>
      <c r="C114" s="53" t="s">
        <v>54</v>
      </c>
      <c r="D114" s="43" t="s">
        <v>55</v>
      </c>
      <c r="E114" s="54" t="s">
        <v>48</v>
      </c>
      <c r="F114" s="52" t="s">
        <v>56</v>
      </c>
      <c r="G114" s="52"/>
      <c r="H114" s="52" t="s">
        <v>23</v>
      </c>
      <c r="I114" s="52" t="s">
        <v>53</v>
      </c>
      <c r="J114" s="52" t="s">
        <v>54</v>
      </c>
      <c r="K114" s="43" t="s">
        <v>55</v>
      </c>
      <c r="L114" s="43" t="s">
        <v>48</v>
      </c>
      <c r="M114" s="52" t="s">
        <v>56</v>
      </c>
      <c r="N114" s="52"/>
      <c r="IJ114" s="1"/>
      <c r="IK114" s="1"/>
      <c r="IL114" s="1"/>
    </row>
    <row r="115" customFormat="false" ht="17.15" hidden="false" customHeight="false" outlineLevel="0" collapsed="false">
      <c r="A115" s="55" t="s">
        <v>57</v>
      </c>
      <c r="B115" s="56" t="s">
        <v>58</v>
      </c>
      <c r="C115" s="57" t="n">
        <f aca="false">D115/$D$115</f>
        <v>1</v>
      </c>
      <c r="D115" s="44" t="n">
        <v>14.822</v>
      </c>
      <c r="E115" s="34" t="n">
        <v>0.162</v>
      </c>
      <c r="F115" s="38" t="n">
        <f aca="false">100/0.1</f>
        <v>1000</v>
      </c>
      <c r="G115" s="38"/>
      <c r="H115" s="55" t="s">
        <v>57</v>
      </c>
      <c r="I115" s="56" t="s">
        <v>58</v>
      </c>
      <c r="J115" s="57" t="n">
        <f aca="false">K115/$K$115</f>
        <v>1</v>
      </c>
      <c r="K115" s="44" t="n">
        <v>14.84</v>
      </c>
      <c r="L115" s="34" t="n">
        <v>0.1632</v>
      </c>
      <c r="M115" s="38" t="n">
        <f aca="false">100/0.1</f>
        <v>1000</v>
      </c>
      <c r="N115" s="38"/>
      <c r="IJ115" s="1"/>
      <c r="IK115" s="1"/>
      <c r="IL115" s="1"/>
    </row>
    <row r="116" customFormat="false" ht="32.8" hidden="false" customHeight="false" outlineLevel="0" collapsed="false">
      <c r="A116" s="52" t="s">
        <v>23</v>
      </c>
      <c r="B116" s="52" t="s">
        <v>59</v>
      </c>
      <c r="C116" s="53" t="s">
        <v>54</v>
      </c>
      <c r="D116" s="43" t="s">
        <v>55</v>
      </c>
      <c r="E116" s="43" t="s">
        <v>48</v>
      </c>
      <c r="F116" s="52" t="s">
        <v>60</v>
      </c>
      <c r="G116" s="52" t="s">
        <v>61</v>
      </c>
      <c r="H116" s="52" t="s">
        <v>23</v>
      </c>
      <c r="I116" s="52" t="s">
        <v>59</v>
      </c>
      <c r="J116" s="53" t="s">
        <v>54</v>
      </c>
      <c r="K116" s="43" t="s">
        <v>55</v>
      </c>
      <c r="L116" s="43" t="s">
        <v>48</v>
      </c>
      <c r="M116" s="52" t="s">
        <v>60</v>
      </c>
      <c r="N116" s="52" t="s">
        <v>61</v>
      </c>
      <c r="IJ116" s="1"/>
      <c r="IK116" s="1"/>
      <c r="IL116" s="1"/>
    </row>
    <row r="117" customFormat="false" ht="17.15" hidden="false" customHeight="false" outlineLevel="0" collapsed="false">
      <c r="A117" s="58" t="s">
        <v>62</v>
      </c>
      <c r="B117" s="55" t="s">
        <v>63</v>
      </c>
      <c r="C117" s="57" t="n">
        <f aca="false">tranvalue(D117/$D$115,2)</f>
        <v>1.08</v>
      </c>
      <c r="D117" s="44" t="n">
        <v>16.067</v>
      </c>
      <c r="E117" s="36" t="n">
        <v>0.0443</v>
      </c>
      <c r="F117" s="59" t="n">
        <f aca="false">IF(E117="n.a.","n.a.",tranvalue(E117/($E$115*$F$115)*100,IF(E117/($E$115*$F$115)*100&lt;0.0001,5,IF(E117/($E$115*$F$115)*100&lt;0.001,4,IF(E117/($E$115*$F$115)*100&lt;0.01,3,IF(E117/($E$115*$F$115)*100&lt;0.1,2,IF(E117/($E$115*$F$115)*100&lt;1,1,0)))))))</f>
        <v>0.03</v>
      </c>
      <c r="G117" s="59" t="str">
        <f aca="false">IF(E117&lt;$D$27,"忽略不计",F117)</f>
        <v>忽略不计</v>
      </c>
      <c r="H117" s="58" t="s">
        <v>62</v>
      </c>
      <c r="I117" s="55" t="s">
        <v>63</v>
      </c>
      <c r="J117" s="57" t="n">
        <f aca="false">tranvalue(K117/$K$115,2)</f>
        <v>1.08</v>
      </c>
      <c r="K117" s="44" t="n">
        <v>16.018</v>
      </c>
      <c r="L117" s="34" t="n">
        <v>0.0407</v>
      </c>
      <c r="M117" s="59" t="n">
        <f aca="false">IF(L117="n.a.","n.a.",tranvalue(L117/($L$115*$M$115)*100,IF(L117/($L$115*$M$115)*100&lt;0.0001,5,IF(L117/($L$115*$M$115)*100&lt;0.001,4,IF(L117/($L$115*$M$115)*100&lt;0.01,3,IF(L117/($L$115*$M$115)*100&lt;0.1,2,IF(L117/($L$115*$M$115)*100&lt;1,1,0)))))))</f>
        <v>0.02</v>
      </c>
      <c r="N117" s="59" t="str">
        <f aca="false">IF(L117&lt;$D$27,"忽略不计",M117)</f>
        <v>忽略不计</v>
      </c>
      <c r="IJ117" s="1"/>
      <c r="IK117" s="1"/>
      <c r="IL117" s="1"/>
    </row>
    <row r="118" customFormat="false" ht="17.15" hidden="false" customHeight="true" outlineLevel="0" collapsed="false">
      <c r="A118" s="58" t="s">
        <v>64</v>
      </c>
      <c r="B118" s="55" t="s">
        <v>65</v>
      </c>
      <c r="C118" s="57" t="n">
        <f aca="false">tranvalue(D118/$D$115,2)</f>
        <v>0.29</v>
      </c>
      <c r="D118" s="44" t="n">
        <v>4.31</v>
      </c>
      <c r="E118" s="36" t="n">
        <v>0.0366</v>
      </c>
      <c r="F118" s="59" t="n">
        <f aca="false">IF(E118="n.a.","n.a.",tranvalue(E118/($E$115*$F$115)*100,IF(E118/($E$115*$F$115)*100&lt;0.0001,5,IF(E118/($E$115*$F$115)*100&lt;0.001,4,IF(E118/($E$115*$F$115)*100&lt;0.01,3,IF(E118/($E$115*$F$115)*100&lt;0.1,2,IF(E118/($E$115*$F$115)*100&lt;1,1,0)))))))</f>
        <v>0.02</v>
      </c>
      <c r="G118" s="59" t="str">
        <f aca="false">IF(E118&lt;$D$27,"忽略不计",F118)</f>
        <v>忽略不计</v>
      </c>
      <c r="H118" s="58" t="s">
        <v>64</v>
      </c>
      <c r="I118" s="55" t="s">
        <v>65</v>
      </c>
      <c r="J118" s="57" t="n">
        <f aca="false">tranvalue(K118/$K$115,2)</f>
        <v>0.29</v>
      </c>
      <c r="K118" s="44" t="n">
        <v>4.31</v>
      </c>
      <c r="L118" s="34" t="n">
        <v>0.0356</v>
      </c>
      <c r="M118" s="59" t="n">
        <f aca="false">IF(L118="n.a.","n.a.",tranvalue(L118/($L$115*$M$115)*100,IF(L118/($L$115*$M$115)*100&lt;0.0001,5,IF(L118/($L$115*$M$115)*100&lt;0.001,4,IF(L118/($L$115*$M$115)*100&lt;0.01,3,IF(L118/($L$115*$M$115)*100&lt;0.1,2,IF(L118/($L$115*$M$115)*100&lt;1,1,0)))))))</f>
        <v>0.02</v>
      </c>
      <c r="N118" s="59" t="str">
        <f aca="false">IF(L118&lt;$D$27,"忽略不计",M118)</f>
        <v>忽略不计</v>
      </c>
      <c r="IJ118" s="1"/>
      <c r="IK118" s="1"/>
      <c r="IL118" s="1"/>
    </row>
    <row r="119" customFormat="false" ht="17.15" hidden="false" customHeight="false" outlineLevel="0" collapsed="false">
      <c r="A119" s="58"/>
      <c r="B119" s="55" t="s">
        <v>66</v>
      </c>
      <c r="C119" s="57" t="n">
        <f aca="false">tranvalue(D119/$D$115,2)</f>
        <v>0.34</v>
      </c>
      <c r="D119" s="44" t="n">
        <v>5.092</v>
      </c>
      <c r="E119" s="36" t="n">
        <v>0.0123</v>
      </c>
      <c r="F119" s="59" t="n">
        <f aca="false">IF(E119="n.a.","n.a.",tranvalue(E119/($E$115*$F$115)*100,IF(E119/($E$115*$F$115)*100&lt;0.0001,5,IF(E119/($E$115*$F$115)*100&lt;0.001,4,IF(E119/($E$115*$F$115)*100&lt;0.01,3,IF(E119/($E$115*$F$115)*100&lt;0.1,2,IF(E119/($E$115*$F$115)*100&lt;1,1,0)))))))</f>
        <v>0.008</v>
      </c>
      <c r="G119" s="59" t="str">
        <f aca="false">IF(E119&lt;$D$27,"忽略不计",F119)</f>
        <v>忽略不计</v>
      </c>
      <c r="H119" s="58"/>
      <c r="I119" s="55" t="s">
        <v>66</v>
      </c>
      <c r="J119" s="57" t="n">
        <f aca="false">tranvalue(K119/$K$115,2)</f>
        <v>0.34</v>
      </c>
      <c r="K119" s="44" t="n">
        <v>5.105</v>
      </c>
      <c r="L119" s="34" t="n">
        <v>0.0109</v>
      </c>
      <c r="M119" s="59" t="n">
        <f aca="false">IF(L119="n.a.","n.a.",tranvalue(L119/($L$115*$M$115)*100,IF(L119/($L$115*$M$115)*100&lt;0.0001,5,IF(L119/($L$115*$M$115)*100&lt;0.001,4,IF(L119/($L$115*$M$115)*100&lt;0.01,3,IF(L119/($L$115*$M$115)*100&lt;0.1,2,IF(L119/($L$115*$M$115)*100&lt;1,1,0)))))))</f>
        <v>0.007</v>
      </c>
      <c r="N119" s="59" t="str">
        <f aca="false">IF(L119&lt;$D$27,"忽略不计",M119)</f>
        <v>忽略不计</v>
      </c>
      <c r="IJ119" s="1"/>
      <c r="IK119" s="1"/>
      <c r="IL119" s="1"/>
    </row>
    <row r="120" customFormat="false" ht="17.15" hidden="false" customHeight="false" outlineLevel="0" collapsed="false">
      <c r="A120" s="58"/>
      <c r="B120" s="55" t="s">
        <v>67</v>
      </c>
      <c r="C120" s="57" t="n">
        <f aca="false">tranvalue(D120/$D$115,2)</f>
        <v>0.44</v>
      </c>
      <c r="D120" s="44" t="n">
        <v>6.532</v>
      </c>
      <c r="E120" s="36" t="n">
        <v>0.0168</v>
      </c>
      <c r="F120" s="59" t="n">
        <f aca="false">IF(E120="n.a.","n.a.",tranvalue(E120/($E$115*$F$115)*100,IF(E120/($E$115*$F$115)*100&lt;0.0001,5,IF(E120/($E$115*$F$115)*100&lt;0.001,4,IF(E120/($E$115*$F$115)*100&lt;0.01,3,IF(E120/($E$115*$F$115)*100&lt;0.1,2,IF(E120/($E$115*$F$115)*100&lt;1,1,0)))))))</f>
        <v>0.01</v>
      </c>
      <c r="G120" s="59" t="str">
        <f aca="false">IF(E120&lt;$D$27,"忽略不计",F120)</f>
        <v>忽略不计</v>
      </c>
      <c r="H120" s="58"/>
      <c r="I120" s="55" t="s">
        <v>67</v>
      </c>
      <c r="J120" s="57" t="n">
        <f aca="false">tranvalue(K120/$K$115,2)</f>
        <v>0.44</v>
      </c>
      <c r="K120" s="44" t="n">
        <v>6.545</v>
      </c>
      <c r="L120" s="34" t="n">
        <v>0.0162</v>
      </c>
      <c r="M120" s="59" t="n">
        <f aca="false">IF(L120="n.a.","n.a.",tranvalue(L120/($L$115*$M$115)*100,IF(L120/($L$115*$M$115)*100&lt;0.0001,5,IF(L120/($L$115*$M$115)*100&lt;0.001,4,IF(L120/($L$115*$M$115)*100&lt;0.01,3,IF(L120/($L$115*$M$115)*100&lt;0.1,2,IF(L120/($L$115*$M$115)*100&lt;1,1,0)))))))</f>
        <v>0.01</v>
      </c>
      <c r="N120" s="59" t="str">
        <f aca="false">IF(L120&lt;$D$27,"忽略不计",M120)</f>
        <v>忽略不计</v>
      </c>
      <c r="IJ120" s="1"/>
      <c r="IK120" s="1"/>
      <c r="IL120" s="1"/>
    </row>
    <row r="121" customFormat="false" ht="17.15" hidden="false" customHeight="false" outlineLevel="0" collapsed="false">
      <c r="A121" s="58"/>
      <c r="B121" s="55" t="s">
        <v>68</v>
      </c>
      <c r="C121" s="57" t="n">
        <f aca="false">tranvalue(D121/$D$115,2)</f>
        <v>0.65</v>
      </c>
      <c r="D121" s="44" t="n">
        <v>9.613</v>
      </c>
      <c r="E121" s="36" t="n">
        <v>0.0891</v>
      </c>
      <c r="F121" s="59" t="n">
        <f aca="false">IF(E121="n.a.","n.a.",tranvalue(E121/($E$115*$F$115)*100,IF(E121/($E$115*$F$115)*100&lt;0.0001,5,IF(E121/($E$115*$F$115)*100&lt;0.001,4,IF(E121/($E$115*$F$115)*100&lt;0.01,3,IF(E121/($E$115*$F$115)*100&lt;0.1,2,IF(E121/($E$115*$F$115)*100&lt;1,1,0)))))))</f>
        <v>0.06</v>
      </c>
      <c r="G121" s="59" t="n">
        <f aca="false">IF(E121&lt;$D$27,"忽略不计",F121)</f>
        <v>0.06</v>
      </c>
      <c r="H121" s="58"/>
      <c r="I121" s="55" t="s">
        <v>68</v>
      </c>
      <c r="J121" s="57" t="n">
        <f aca="false">tranvalue(K121/$K$115,2)</f>
        <v>0.65</v>
      </c>
      <c r="K121" s="44" t="n">
        <v>9.603</v>
      </c>
      <c r="L121" s="34" t="n">
        <v>0.0834</v>
      </c>
      <c r="M121" s="59" t="n">
        <f aca="false">IF(L121="n.a.","n.a.",tranvalue(L121/($L$115*$M$115)*100,IF(L121/($L$115*$M$115)*100&lt;0.0001,5,IF(L121/($L$115*$M$115)*100&lt;0.001,4,IF(L121/($L$115*$M$115)*100&lt;0.01,3,IF(L121/($L$115*$M$115)*100&lt;0.1,2,IF(L121/($L$115*$M$115)*100&lt;1,1,0)))))))</f>
        <v>0.05</v>
      </c>
      <c r="N121" s="59" t="str">
        <f aca="false">IF(L121&lt;$D$27,"忽略不计",M121)</f>
        <v>忽略不计</v>
      </c>
      <c r="IJ121" s="1"/>
      <c r="IK121" s="1"/>
      <c r="IL121" s="1"/>
    </row>
    <row r="122" customFormat="false" ht="17.15" hidden="false" customHeight="false" outlineLevel="0" collapsed="false">
      <c r="A122" s="58"/>
      <c r="B122" s="55" t="s">
        <v>69</v>
      </c>
      <c r="C122" s="57" t="n">
        <f aca="false">tranvalue(D122/$D$115,2)</f>
        <v>0.84</v>
      </c>
      <c r="D122" s="44" t="n">
        <v>12.52</v>
      </c>
      <c r="E122" s="36" t="n">
        <v>0.025</v>
      </c>
      <c r="F122" s="59" t="n">
        <f aca="false">IF(E122="n.a.","n.a.",tranvalue(E122/($E$115*$F$115)*100,IF(E122/($E$115*$F$115)*100&lt;0.0001,5,IF(E122/($E$115*$F$115)*100&lt;0.001,4,IF(E122/($E$115*$F$115)*100&lt;0.01,3,IF(E122/($E$115*$F$115)*100&lt;0.1,2,IF(E122/($E$115*$F$115)*100&lt;1,1,0)))))))</f>
        <v>0.02</v>
      </c>
      <c r="G122" s="59" t="str">
        <f aca="false">IF(E122&lt;$D$27,"忽略不计",F122)</f>
        <v>忽略不计</v>
      </c>
      <c r="H122" s="58"/>
      <c r="I122" s="55" t="s">
        <v>69</v>
      </c>
      <c r="J122" s="57" t="n">
        <f aca="false">tranvalue(K122/$K$115,2)</f>
        <v>0.84</v>
      </c>
      <c r="K122" s="44" t="n">
        <v>12.522</v>
      </c>
      <c r="L122" s="34" t="n">
        <v>0.0254</v>
      </c>
      <c r="M122" s="59" t="n">
        <f aca="false">IF(L122="n.a.","n.a.",tranvalue(L122/($L$115*$M$115)*100,IF(L122/($L$115*$M$115)*100&lt;0.0001,5,IF(L122/($L$115*$M$115)*100&lt;0.001,4,IF(L122/($L$115*$M$115)*100&lt;0.01,3,IF(L122/($L$115*$M$115)*100&lt;0.1,2,IF(L122/($L$115*$M$115)*100&lt;1,1,0)))))))</f>
        <v>0.02</v>
      </c>
      <c r="N122" s="59" t="str">
        <f aca="false">IF(L122&lt;$D$27,"忽略不计",M122)</f>
        <v>忽略不计</v>
      </c>
      <c r="IJ122" s="1"/>
      <c r="IK122" s="1"/>
      <c r="IL122" s="1"/>
    </row>
    <row r="123" customFormat="false" ht="17.15" hidden="false" customHeight="false" outlineLevel="0" collapsed="false">
      <c r="A123" s="58"/>
      <c r="B123" s="55" t="s">
        <v>70</v>
      </c>
      <c r="C123" s="57" t="n">
        <f aca="false">tranvalue(D123/$D$115,2)</f>
        <v>1.65</v>
      </c>
      <c r="D123" s="44" t="n">
        <v>24.428</v>
      </c>
      <c r="E123" s="36" t="n">
        <v>0.0292</v>
      </c>
      <c r="F123" s="59" t="n">
        <f aca="false">IF(E123="n.a.","n.a.",tranvalue(E123/($E$115*$F$115)*100,IF(E123/($E$115*$F$115)*100&lt;0.0001,5,IF(E123/($E$115*$F$115)*100&lt;0.001,4,IF(E123/($E$115*$F$115)*100&lt;0.01,3,IF(E123/($E$115*$F$115)*100&lt;0.1,2,IF(E123/($E$115*$F$115)*100&lt;1,1,0)))))))</f>
        <v>0.02</v>
      </c>
      <c r="G123" s="59" t="str">
        <f aca="false">IF(E123&lt;$D$27,"忽略不计",F123)</f>
        <v>忽略不计</v>
      </c>
      <c r="H123" s="58"/>
      <c r="I123" s="55" t="s">
        <v>70</v>
      </c>
      <c r="J123" s="57" t="n">
        <f aca="false">tranvalue(K123/$K$115,2)</f>
        <v>1.65</v>
      </c>
      <c r="K123" s="44" t="n">
        <v>24.448</v>
      </c>
      <c r="L123" s="34" t="n">
        <v>0.0274</v>
      </c>
      <c r="M123" s="59" t="n">
        <f aca="false">IF(L123="n.a.","n.a.",tranvalue(L123/($L$115*$M$115)*100,IF(L123/($L$115*$M$115)*100&lt;0.0001,5,IF(L123/($L$115*$M$115)*100&lt;0.001,4,IF(L123/($L$115*$M$115)*100&lt;0.01,3,IF(L123/($L$115*$M$115)*100&lt;0.1,2,IF(L123/($L$115*$M$115)*100&lt;1,1,0)))))))</f>
        <v>0.02</v>
      </c>
      <c r="N123" s="59" t="str">
        <f aca="false">IF(L123&lt;$D$27,"忽略不计",M123)</f>
        <v>忽略不计</v>
      </c>
      <c r="IJ123" s="1"/>
      <c r="IK123" s="1"/>
      <c r="IL123" s="1"/>
    </row>
    <row r="124" customFormat="false" ht="17.15" hidden="false" customHeight="false" outlineLevel="0" collapsed="false">
      <c r="A124" s="58"/>
      <c r="B124" s="55" t="s">
        <v>71</v>
      </c>
      <c r="C124" s="57" t="n">
        <f aca="false">tranvalue(D124/$D$115,2)</f>
        <v>1.74</v>
      </c>
      <c r="D124" s="44" t="n">
        <v>25.807</v>
      </c>
      <c r="E124" s="36" t="n">
        <v>0.029</v>
      </c>
      <c r="F124" s="59" t="n">
        <f aca="false">IF(E124="n.a.","n.a.",tranvalue(E124/($E$115*$F$115)*100,IF(E124/($E$115*$F$115)*100&lt;0.0001,5,IF(E124/($E$115*$F$115)*100&lt;0.001,4,IF(E124/($E$115*$F$115)*100&lt;0.01,3,IF(E124/($E$115*$F$115)*100&lt;0.1,2,IF(E124/($E$115*$F$115)*100&lt;1,1,0)))))))</f>
        <v>0.02</v>
      </c>
      <c r="G124" s="59" t="str">
        <f aca="false">IF(E124&lt;$D$27,"忽略不计",F124)</f>
        <v>忽略不计</v>
      </c>
      <c r="H124" s="58"/>
      <c r="I124" s="55" t="s">
        <v>71</v>
      </c>
      <c r="J124" s="57" t="n">
        <f aca="false">tranvalue(K124/$K$115,2)</f>
        <v>1.74</v>
      </c>
      <c r="K124" s="44" t="n">
        <v>25.81</v>
      </c>
      <c r="L124" s="34" t="n">
        <v>0.0287</v>
      </c>
      <c r="M124" s="59" t="n">
        <f aca="false">IF(L124="n.a.","n.a.",tranvalue(L124/($L$115*$M$115)*100,IF(L124/($L$115*$M$115)*100&lt;0.0001,5,IF(L124/($L$115*$M$115)*100&lt;0.001,4,IF(L124/($L$115*$M$115)*100&lt;0.01,3,IF(L124/($L$115*$M$115)*100&lt;0.1,2,IF(L124/($L$115*$M$115)*100&lt;1,1,0)))))))</f>
        <v>0.02</v>
      </c>
      <c r="N124" s="59" t="str">
        <f aca="false">IF(L124&lt;$D$27,"忽略不计",M124)</f>
        <v>忽略不计</v>
      </c>
      <c r="IJ124" s="1"/>
      <c r="IK124" s="1"/>
      <c r="IL124" s="1"/>
    </row>
    <row r="125" customFormat="false" ht="17.15" hidden="false" customHeight="false" outlineLevel="0" collapsed="false">
      <c r="A125" s="58"/>
      <c r="B125" s="55" t="s">
        <v>72</v>
      </c>
      <c r="C125" s="57" t="n">
        <f aca="false">tranvalue(D125/$D$115,2)</f>
        <v>1.81</v>
      </c>
      <c r="D125" s="44" t="n">
        <v>26.797</v>
      </c>
      <c r="E125" s="36" t="n">
        <v>0.0558</v>
      </c>
      <c r="F125" s="59" t="n">
        <f aca="false">IF(E125="n.a.","n.a.",tranvalue(E125/($E$115*$F$115)*100,IF(E125/($E$115*$F$115)*100&lt;0.0001,5,IF(E125/($E$115*$F$115)*100&lt;0.001,4,IF(E125/($E$115*$F$115)*100&lt;0.01,3,IF(E125/($E$115*$F$115)*100&lt;0.1,2,IF(E125/($E$115*$F$115)*100&lt;1,1,0)))))))</f>
        <v>0.03</v>
      </c>
      <c r="G125" s="59" t="str">
        <f aca="false">IF(E125&lt;$D$27,"忽略不计",F125)</f>
        <v>忽略不计</v>
      </c>
      <c r="H125" s="58"/>
      <c r="I125" s="55" t="s">
        <v>72</v>
      </c>
      <c r="J125" s="57" t="n">
        <f aca="false">tranvalue(K125/$K$115,2)</f>
        <v>1.8</v>
      </c>
      <c r="K125" s="44" t="n">
        <v>26.785</v>
      </c>
      <c r="L125" s="34" t="n">
        <v>0.0529</v>
      </c>
      <c r="M125" s="59" t="n">
        <f aca="false">IF(L125="n.a.","n.a.",tranvalue(L125/($L$115*$M$115)*100,IF(L125/($L$115*$M$115)*100&lt;0.0001,5,IF(L125/($L$115*$M$115)*100&lt;0.001,4,IF(L125/($L$115*$M$115)*100&lt;0.01,3,IF(L125/($L$115*$M$115)*100&lt;0.1,2,IF(L125/($L$115*$M$115)*100&lt;1,1,0)))))))</f>
        <v>0.03</v>
      </c>
      <c r="N125" s="59" t="str">
        <f aca="false">IF(L125&lt;$D$27,"忽略不计",M125)</f>
        <v>忽略不计</v>
      </c>
      <c r="IJ125" s="1"/>
      <c r="IK125" s="1"/>
      <c r="IL125" s="1"/>
    </row>
    <row r="126" customFormat="false" ht="17.15" hidden="false" customHeight="false" outlineLevel="0" collapsed="false">
      <c r="A126" s="58"/>
      <c r="B126" s="55" t="s">
        <v>73</v>
      </c>
      <c r="C126" s="57" t="n">
        <f aca="false">tranvalue(D126/$D$115,2)</f>
        <v>1.83</v>
      </c>
      <c r="D126" s="44" t="n">
        <v>27.173</v>
      </c>
      <c r="E126" s="36" t="n">
        <v>0.0698</v>
      </c>
      <c r="F126" s="59" t="n">
        <f aca="false">IF(E126="n.a.","n.a.",tranvalue(E126/($E$115*$F$115)*100,IF(E126/($E$115*$F$115)*100&lt;0.0001,5,IF(E126/($E$115*$F$115)*100&lt;0.001,4,IF(E126/($E$115*$F$115)*100&lt;0.01,3,IF(E126/($E$115*$F$115)*100&lt;0.1,2,IF(E126/($E$115*$F$115)*100&lt;1,1,0)))))))</f>
        <v>0.04</v>
      </c>
      <c r="G126" s="59" t="str">
        <f aca="false">IF(E126&lt;$D$27,"忽略不计",F126)</f>
        <v>忽略不计</v>
      </c>
      <c r="H126" s="58"/>
      <c r="I126" s="55" t="s">
        <v>73</v>
      </c>
      <c r="J126" s="57" t="n">
        <f aca="false">tranvalue(K126/$K$115,2)</f>
        <v>1.83</v>
      </c>
      <c r="K126" s="44" t="n">
        <v>27.163</v>
      </c>
      <c r="L126" s="36" t="n">
        <v>0.0702</v>
      </c>
      <c r="M126" s="59" t="n">
        <f aca="false">IF(L126="n.a.","n.a.",tranvalue(L126/($L$115*$M$115)*100,IF(L126/($L$115*$M$115)*100&lt;0.0001,5,IF(L126/($L$115*$M$115)*100&lt;0.001,4,IF(L126/($L$115*$M$115)*100&lt;0.01,3,IF(L126/($L$115*$M$115)*100&lt;0.1,2,IF(L126/($L$115*$M$115)*100&lt;1,1,0)))))))</f>
        <v>0.04</v>
      </c>
      <c r="N126" s="59" t="str">
        <f aca="false">IF(L126&lt;$D$27,"忽略不计",M126)</f>
        <v>忽略不计</v>
      </c>
      <c r="IJ126" s="1"/>
      <c r="IK126" s="1"/>
      <c r="IL126" s="1"/>
    </row>
    <row r="127" customFormat="false" ht="17.15" hidden="false" customHeight="false" outlineLevel="0" collapsed="false">
      <c r="A127" s="58"/>
      <c r="B127" s="55" t="s">
        <v>74</v>
      </c>
      <c r="C127" s="57" t="n">
        <f aca="false">tranvalue(D127/$D$115,2)</f>
        <v>1.87</v>
      </c>
      <c r="D127" s="44" t="n">
        <v>27.718</v>
      </c>
      <c r="E127" s="36" t="n">
        <v>0.0468</v>
      </c>
      <c r="F127" s="59" t="n">
        <f aca="false">IF(E127="n.a.","n.a.",tranvalue(E127/($E$115*$F$115)*100,IF(E127/($E$115*$F$115)*100&lt;0.0001,5,IF(E127/($E$115*$F$115)*100&lt;0.001,4,IF(E127/($E$115*$F$115)*100&lt;0.01,3,IF(E127/($E$115*$F$115)*100&lt;0.1,2,IF(E127/($E$115*$F$115)*100&lt;1,1,0)))))))</f>
        <v>0.03</v>
      </c>
      <c r="G127" s="59" t="str">
        <f aca="false">IF(E127&lt;$D$27,"忽略不计",F127)</f>
        <v>忽略不计</v>
      </c>
      <c r="H127" s="58"/>
      <c r="I127" s="55" t="s">
        <v>74</v>
      </c>
      <c r="J127" s="57" t="n">
        <f aca="false">tranvalue(K127/$K$115,2)</f>
        <v>1.87</v>
      </c>
      <c r="K127" s="44" t="n">
        <v>27.718</v>
      </c>
      <c r="L127" s="36" t="n">
        <v>0.049</v>
      </c>
      <c r="M127" s="59" t="n">
        <f aca="false">IF(L127="n.a.","n.a.",tranvalue(L127/($L$115*$M$115)*100,IF(L127/($L$115*$M$115)*100&lt;0.0001,5,IF(L127/($L$115*$M$115)*100&lt;0.001,4,IF(L127/($L$115*$M$115)*100&lt;0.01,3,IF(L127/($L$115*$M$115)*100&lt;0.1,2,IF(L127/($L$115*$M$115)*100&lt;1,1,0)))))))</f>
        <v>0.03</v>
      </c>
      <c r="N127" s="59" t="str">
        <f aca="false">IF(L127&lt;$D$27,"忽略不计",M127)</f>
        <v>忽略不计</v>
      </c>
      <c r="IJ127" s="1"/>
      <c r="IK127" s="1"/>
      <c r="IL127" s="1"/>
    </row>
    <row r="128" customFormat="false" ht="17.15" hidden="false" customHeight="false" outlineLevel="0" collapsed="false">
      <c r="A128" s="58"/>
      <c r="B128" s="55" t="s">
        <v>75</v>
      </c>
      <c r="C128" s="57" t="n">
        <f aca="false">tranvalue(D128/$D$115,2)</f>
        <v>0</v>
      </c>
      <c r="D128" s="44"/>
      <c r="E128" s="36"/>
      <c r="F128" s="59" t="n">
        <f aca="false">IF(E128="n.a.","n.a.",tranvalue(E128/($E$115*$F$115)*100,IF(E128/($E$115*$F$115)*100&lt;0.0001,5,IF(E128/($E$115*$F$115)*100&lt;0.001,4,IF(E128/($E$115*$F$115)*100&lt;0.01,3,IF(E128/($E$115*$F$115)*100&lt;0.1,2,IF(E128/($E$115*$F$115)*100&lt;1,1,0)))))))</f>
        <v>0</v>
      </c>
      <c r="G128" s="59" t="str">
        <f aca="false">IF(E128&lt;$D$27,"忽略不计",F128)</f>
        <v>忽略不计</v>
      </c>
      <c r="H128" s="58"/>
      <c r="I128" s="55" t="s">
        <v>75</v>
      </c>
      <c r="J128" s="57" t="n">
        <f aca="false">tranvalue(K128/$K$115,2)</f>
        <v>0</v>
      </c>
      <c r="K128" s="44"/>
      <c r="L128" s="36"/>
      <c r="M128" s="59" t="n">
        <f aca="false">IF(L128="n.a.","n.a.",tranvalue(L128/($L$115*$M$115)*100,IF(L128/($L$115*$M$115)*100&lt;0.0001,5,IF(L128/($L$115*$M$115)*100&lt;0.001,4,IF(L128/($L$115*$M$115)*100&lt;0.01,3,IF(L128/($L$115*$M$115)*100&lt;0.1,2,IF(L128/($L$115*$M$115)*100&lt;1,1,0)))))))</f>
        <v>0</v>
      </c>
      <c r="N128" s="59" t="str">
        <f aca="false">IF(L128&lt;$D$27,"忽略不计",M128)</f>
        <v>忽略不计</v>
      </c>
      <c r="IJ128" s="1"/>
      <c r="IK128" s="1"/>
      <c r="IL128" s="1"/>
    </row>
    <row r="129" customFormat="false" ht="17.15" hidden="false" customHeight="false" outlineLevel="0" collapsed="false">
      <c r="A129" s="58"/>
      <c r="B129" s="55" t="s">
        <v>76</v>
      </c>
      <c r="C129" s="57" t="n">
        <f aca="false">tranvalue(D129/$D$115,2)</f>
        <v>0</v>
      </c>
      <c r="D129" s="44"/>
      <c r="E129" s="36"/>
      <c r="F129" s="59" t="n">
        <f aca="false">IF(E129="n.a.","n.a.",tranvalue(E129/($E$115*$F$115)*100,IF(E129/($E$115*$F$115)*100&lt;0.0001,5,IF(E129/($E$115*$F$115)*100&lt;0.001,4,IF(E129/($E$115*$F$115)*100&lt;0.01,3,IF(E129/($E$115*$F$115)*100&lt;0.1,2,IF(E129/($E$115*$F$115)*100&lt;1,1,0)))))))</f>
        <v>0</v>
      </c>
      <c r="G129" s="59" t="str">
        <f aca="false">IF(E129&lt;$D$27,"忽略不计",F129)</f>
        <v>忽略不计</v>
      </c>
      <c r="H129" s="58"/>
      <c r="I129" s="55" t="s">
        <v>76</v>
      </c>
      <c r="J129" s="57" t="n">
        <f aca="false">tranvalue(K129/$K$115,2)</f>
        <v>0</v>
      </c>
      <c r="K129" s="44"/>
      <c r="L129" s="36"/>
      <c r="M129" s="59" t="n">
        <f aca="false">IF(L129="n.a.","n.a.",tranvalue(L129/($L$115*$M$115)*100,IF(L129/($L$115*$M$115)*100&lt;0.0001,5,IF(L129/($L$115*$M$115)*100&lt;0.001,4,IF(L129/($L$115*$M$115)*100&lt;0.01,3,IF(L129/($L$115*$M$115)*100&lt;0.1,2,IF(L129/($L$115*$M$115)*100&lt;1,1,0)))))))</f>
        <v>0</v>
      </c>
      <c r="N129" s="59" t="str">
        <f aca="false">IF(L129&lt;$D$27,"忽略不计",M129)</f>
        <v>忽略不计</v>
      </c>
      <c r="IJ129" s="1"/>
      <c r="IK129" s="1"/>
      <c r="IL129" s="1"/>
    </row>
    <row r="130" customFormat="false" ht="17.15" hidden="false" customHeight="false" outlineLevel="0" collapsed="false">
      <c r="A130" s="58"/>
      <c r="B130" s="55" t="s">
        <v>77</v>
      </c>
      <c r="C130" s="57" t="n">
        <f aca="false">tranvalue(D130/$D$115,2)</f>
        <v>0</v>
      </c>
      <c r="D130" s="44"/>
      <c r="E130" s="36"/>
      <c r="F130" s="59" t="n">
        <f aca="false">IF(E130="n.a.","n.a.",tranvalue(E130/($E$115*$F$115)*100,IF(E130/($E$115*$F$115)*100&lt;0.0001,5,IF(E130/($E$115*$F$115)*100&lt;0.001,4,IF(E130/($E$115*$F$115)*100&lt;0.01,3,IF(E130/($E$115*$F$115)*100&lt;0.1,2,IF(E130/($E$115*$F$115)*100&lt;1,1,0)))))))</f>
        <v>0</v>
      </c>
      <c r="G130" s="59" t="str">
        <f aca="false">IF(E130&lt;$D$27,"忽略不计",F130)</f>
        <v>忽略不计</v>
      </c>
      <c r="H130" s="58"/>
      <c r="I130" s="55" t="s">
        <v>77</v>
      </c>
      <c r="J130" s="57" t="n">
        <f aca="false">tranvalue(K130/$K$115,2)</f>
        <v>0</v>
      </c>
      <c r="K130" s="44"/>
      <c r="L130" s="36"/>
      <c r="M130" s="59" t="n">
        <f aca="false">IF(L130="n.a.","n.a.",tranvalue(L130/($L$115*$M$115)*100,IF(L130/($L$115*$M$115)*100&lt;0.0001,5,IF(L130/($L$115*$M$115)*100&lt;0.001,4,IF(L130/($L$115*$M$115)*100&lt;0.01,3,IF(L130/($L$115*$M$115)*100&lt;0.1,2,IF(L130/($L$115*$M$115)*100&lt;1,1,0)))))))</f>
        <v>0</v>
      </c>
      <c r="N130" s="59" t="str">
        <f aca="false">IF(L130&lt;$D$27,"忽略不计",M130)</f>
        <v>忽略不计</v>
      </c>
      <c r="IJ130" s="1"/>
      <c r="IK130" s="1"/>
      <c r="IL130" s="1"/>
    </row>
    <row r="131" customFormat="false" ht="17.15" hidden="false" customHeight="false" outlineLevel="0" collapsed="false">
      <c r="A131" s="58"/>
      <c r="B131" s="55" t="s">
        <v>78</v>
      </c>
      <c r="C131" s="57" t="n">
        <f aca="false">tranvalue(D131/$D$115,2)</f>
        <v>0</v>
      </c>
      <c r="D131" s="44"/>
      <c r="E131" s="34"/>
      <c r="F131" s="59" t="n">
        <f aca="false">IF(E131="n.a.","n.a.",tranvalue(E131/($E$115*$F$115)*100,IF(E131/($E$115*$F$115)*100&lt;0.0001,5,IF(E131/($E$115*$F$115)*100&lt;0.001,4,IF(E131/($E$115*$F$115)*100&lt;0.01,3,IF(E131/($E$115*$F$115)*100&lt;0.1,2,IF(E131/($E$115*$F$115)*100&lt;1,1,0)))))))</f>
        <v>0</v>
      </c>
      <c r="G131" s="59" t="str">
        <f aca="false">IF(E131&lt;$D$27,"忽略不计",F131)</f>
        <v>忽略不计</v>
      </c>
      <c r="H131" s="58"/>
      <c r="I131" s="55" t="s">
        <v>78</v>
      </c>
      <c r="J131" s="57" t="n">
        <f aca="false">tranvalue(K131/$K$115,2)</f>
        <v>0</v>
      </c>
      <c r="K131" s="44"/>
      <c r="L131" s="36"/>
      <c r="M131" s="59" t="n">
        <f aca="false">IF(L131="n.a.","n.a.",tranvalue(L131/($L$115*$M$115)*100,IF(L131/($L$115*$M$115)*100&lt;0.0001,5,IF(L131/($L$115*$M$115)*100&lt;0.001,4,IF(L131/($L$115*$M$115)*100&lt;0.01,3,IF(L131/($L$115*$M$115)*100&lt;0.1,2,IF(L131/($L$115*$M$115)*100&lt;1,1,0)))))))</f>
        <v>0</v>
      </c>
      <c r="N131" s="59" t="str">
        <f aca="false">IF(L131&lt;$D$27,"忽略不计",M131)</f>
        <v>忽略不计</v>
      </c>
      <c r="IJ131" s="1"/>
      <c r="IK131" s="1"/>
      <c r="IL131" s="1"/>
    </row>
    <row r="132" customFormat="false" ht="17.15" hidden="false" customHeight="false" outlineLevel="0" collapsed="false">
      <c r="A132" s="58"/>
      <c r="B132" s="55" t="s">
        <v>79</v>
      </c>
      <c r="C132" s="57" t="n">
        <f aca="false">tranvalue(D132/$D$115,2)</f>
        <v>0</v>
      </c>
      <c r="D132" s="44"/>
      <c r="E132" s="34"/>
      <c r="F132" s="59" t="n">
        <f aca="false">IF(E132="n.a.","n.a.",tranvalue(E132/($E$115*$F$115)*100,IF(E132/($E$115*$F$115)*100&lt;0.0001,5,IF(E132/($E$115*$F$115)*100&lt;0.001,4,IF(E132/($E$115*$F$115)*100&lt;0.01,3,IF(E132/($E$115*$F$115)*100&lt;0.1,2,IF(E132/($E$115*$F$115)*100&lt;1,1,0)))))))</f>
        <v>0</v>
      </c>
      <c r="G132" s="59" t="str">
        <f aca="false">IF(E132&lt;$D$27,"忽略不计",F132)</f>
        <v>忽略不计</v>
      </c>
      <c r="H132" s="58"/>
      <c r="I132" s="55" t="s">
        <v>79</v>
      </c>
      <c r="J132" s="57" t="n">
        <f aca="false">tranvalue(K132/$K$115,2)</f>
        <v>0</v>
      </c>
      <c r="K132" s="44"/>
      <c r="L132" s="36"/>
      <c r="M132" s="59" t="n">
        <f aca="false">IF(L132="n.a.","n.a.",tranvalue(L132/($L$115*$M$115)*100,IF(L132/($L$115*$M$115)*100&lt;0.0001,5,IF(L132/($L$115*$M$115)*100&lt;0.001,4,IF(L132/($L$115*$M$115)*100&lt;0.01,3,IF(L132/($L$115*$M$115)*100&lt;0.1,2,IF(L132/($L$115*$M$115)*100&lt;1,1,0)))))))</f>
        <v>0</v>
      </c>
      <c r="N132" s="59" t="str">
        <f aca="false">IF(L132&lt;$D$27,"忽略不计",M132)</f>
        <v>忽略不计</v>
      </c>
      <c r="IJ132" s="1"/>
      <c r="IK132" s="1"/>
      <c r="IL132" s="1"/>
    </row>
    <row r="133" customFormat="false" ht="17.15" hidden="false" customHeight="false" outlineLevel="0" collapsed="false">
      <c r="A133" s="58"/>
      <c r="B133" s="55" t="s">
        <v>80</v>
      </c>
      <c r="C133" s="57" t="n">
        <f aca="false">tranvalue(D133/$D$115,2)</f>
        <v>0</v>
      </c>
      <c r="D133" s="44"/>
      <c r="E133" s="34"/>
      <c r="F133" s="59" t="n">
        <f aca="false">IF(E133="n.a.","n.a.",tranvalue(E133/($E$115*$F$115)*100,IF(E133/($E$115*$F$115)*100&lt;0.0001,5,IF(E133/($E$115*$F$115)*100&lt;0.001,4,IF(E133/($E$115*$F$115)*100&lt;0.01,3,IF(E133/($E$115*$F$115)*100&lt;0.1,2,IF(E133/($E$115*$F$115)*100&lt;1,1,0)))))))</f>
        <v>0</v>
      </c>
      <c r="G133" s="59" t="str">
        <f aca="false">IF(E133&lt;$D$27,"忽略不计",F133)</f>
        <v>忽略不计</v>
      </c>
      <c r="H133" s="58"/>
      <c r="I133" s="55" t="s">
        <v>80</v>
      </c>
      <c r="J133" s="57" t="n">
        <f aca="false">tranvalue(K133/$K$115,2)</f>
        <v>0</v>
      </c>
      <c r="K133" s="44"/>
      <c r="L133" s="36"/>
      <c r="M133" s="59" t="n">
        <f aca="false">IF(L133="n.a.","n.a.",tranvalue(L133/($L$115*$M$115)*100,IF(L133/($L$115*$M$115)*100&lt;0.0001,5,IF(L133/($L$115*$M$115)*100&lt;0.001,4,IF(L133/($L$115*$M$115)*100&lt;0.01,3,IF(L133/($L$115*$M$115)*100&lt;0.1,2,IF(L133/($L$115*$M$115)*100&lt;1,1,0)))))))</f>
        <v>0</v>
      </c>
      <c r="N133" s="59" t="str">
        <f aca="false">IF(L133&lt;$D$27,"忽略不计",M133)</f>
        <v>忽略不计</v>
      </c>
      <c r="IJ133" s="1"/>
      <c r="IK133" s="1"/>
      <c r="IL133" s="1"/>
    </row>
    <row r="134" customFormat="false" ht="17.15" hidden="false" customHeight="false" outlineLevel="0" collapsed="false">
      <c r="A134" s="58"/>
      <c r="B134" s="55" t="s">
        <v>81</v>
      </c>
      <c r="C134" s="57" t="n">
        <f aca="false">tranvalue(D134/$D$115,2)</f>
        <v>0</v>
      </c>
      <c r="D134" s="44"/>
      <c r="E134" s="34"/>
      <c r="F134" s="59" t="n">
        <f aca="false">IF(E134="n.a.","n.a.",tranvalue(E134/($E$115*$F$115)*100,IF(E134/($E$115*$F$115)*100&lt;0.0001,5,IF(E134/($E$115*$F$115)*100&lt;0.001,4,IF(E134/($E$115*$F$115)*100&lt;0.01,3,IF(E134/($E$115*$F$115)*100&lt;0.1,2,IF(E134/($E$115*$F$115)*100&lt;1,1,0)))))))</f>
        <v>0</v>
      </c>
      <c r="G134" s="59" t="str">
        <f aca="false">IF(E134&lt;$D$27,"忽略不计",F134)</f>
        <v>忽略不计</v>
      </c>
      <c r="H134" s="58"/>
      <c r="I134" s="55" t="s">
        <v>81</v>
      </c>
      <c r="J134" s="57" t="n">
        <f aca="false">tranvalue(K134/$K$115,2)</f>
        <v>0</v>
      </c>
      <c r="K134" s="44"/>
      <c r="L134" s="36"/>
      <c r="M134" s="59" t="n">
        <f aca="false">IF(L134="n.a.","n.a.",tranvalue(L134/($L$115*$M$115)*100,IF(L134/($L$115*$M$115)*100&lt;0.0001,5,IF(L134/($L$115*$M$115)*100&lt;0.001,4,IF(L134/($L$115*$M$115)*100&lt;0.01,3,IF(L134/($L$115*$M$115)*100&lt;0.1,2,IF(L134/($L$115*$M$115)*100&lt;1,1,0)))))))</f>
        <v>0</v>
      </c>
      <c r="N134" s="59" t="str">
        <f aca="false">IF(L134&lt;$D$27,"忽略不计",M134)</f>
        <v>忽略不计</v>
      </c>
      <c r="IJ134" s="1"/>
      <c r="IK134" s="1"/>
      <c r="IL134" s="1"/>
    </row>
    <row r="135" customFormat="false" ht="17.15" hidden="false" customHeight="false" outlineLevel="0" collapsed="false">
      <c r="A135" s="58"/>
      <c r="B135" s="55" t="s">
        <v>82</v>
      </c>
      <c r="C135" s="57" t="n">
        <f aca="false">tranvalue(D135/$D$115,2)</f>
        <v>0</v>
      </c>
      <c r="D135" s="44"/>
      <c r="E135" s="34"/>
      <c r="F135" s="59" t="n">
        <f aca="false">IF(E135="n.a.","n.a.",tranvalue(E135/($E$115*$F$115)*100,IF(E135/($E$115*$F$115)*100&lt;0.0001,5,IF(E135/($E$115*$F$115)*100&lt;0.001,4,IF(E135/($E$115*$F$115)*100&lt;0.01,3,IF(E135/($E$115*$F$115)*100&lt;0.1,2,IF(E135/($E$115*$F$115)*100&lt;1,1,0)))))))</f>
        <v>0</v>
      </c>
      <c r="G135" s="59" t="str">
        <f aca="false">IF(E135&lt;$D$27,"忽略不计",F135)</f>
        <v>忽略不计</v>
      </c>
      <c r="H135" s="58"/>
      <c r="I135" s="55" t="s">
        <v>82</v>
      </c>
      <c r="J135" s="57" t="n">
        <f aca="false">tranvalue(K135/$K$115,2)</f>
        <v>0</v>
      </c>
      <c r="K135" s="44"/>
      <c r="L135" s="36"/>
      <c r="M135" s="59" t="n">
        <f aca="false">IF(L135="n.a.","n.a.",tranvalue(L135/($L$115*$M$115)*100,IF(L135/($L$115*$M$115)*100&lt;0.0001,5,IF(L135/($L$115*$M$115)*100&lt;0.001,4,IF(L135/($L$115*$M$115)*100&lt;0.01,3,IF(L135/($L$115*$M$115)*100&lt;0.1,2,IF(L135/($L$115*$M$115)*100&lt;1,1,0)))))))</f>
        <v>0</v>
      </c>
      <c r="N135" s="59" t="str">
        <f aca="false">IF(L135&lt;$D$27,"忽略不计",M135)</f>
        <v>忽略不计</v>
      </c>
      <c r="IJ135" s="1"/>
      <c r="IK135" s="1"/>
      <c r="IL135" s="1"/>
    </row>
    <row r="136" customFormat="false" ht="17.15" hidden="false" customHeight="false" outlineLevel="0" collapsed="false">
      <c r="A136" s="58"/>
      <c r="B136" s="55" t="s">
        <v>83</v>
      </c>
      <c r="C136" s="57" t="n">
        <f aca="false">tranvalue(D136/$D$115,2)</f>
        <v>0</v>
      </c>
      <c r="D136" s="44"/>
      <c r="E136" s="34"/>
      <c r="F136" s="59" t="n">
        <f aca="false">IF(E136="n.a.","n.a.",tranvalue(E136/($E$115*$F$115)*100,IF(E136/($E$115*$F$115)*100&lt;0.0001,5,IF(E136/($E$115*$F$115)*100&lt;0.001,4,IF(E136/($E$115*$F$115)*100&lt;0.01,3,IF(E136/($E$115*$F$115)*100&lt;0.1,2,IF(E136/($E$115*$F$115)*100&lt;1,1,0)))))))</f>
        <v>0</v>
      </c>
      <c r="G136" s="59" t="str">
        <f aca="false">IF(E136&lt;$D$27,"忽略不计",F136)</f>
        <v>忽略不计</v>
      </c>
      <c r="H136" s="58"/>
      <c r="I136" s="55" t="s">
        <v>83</v>
      </c>
      <c r="J136" s="57" t="n">
        <f aca="false">tranvalue(K136/$K$115,2)</f>
        <v>0</v>
      </c>
      <c r="K136" s="44"/>
      <c r="L136" s="36"/>
      <c r="M136" s="59" t="n">
        <f aca="false">IF(L136="n.a.","n.a.",tranvalue(L136/($L$115*$M$115)*100,IF(L136/($L$115*$M$115)*100&lt;0.0001,5,IF(L136/($L$115*$M$115)*100&lt;0.001,4,IF(L136/($L$115*$M$115)*100&lt;0.01,3,IF(L136/($L$115*$M$115)*100&lt;0.1,2,IF(L136/($L$115*$M$115)*100&lt;1,1,0)))))))</f>
        <v>0</v>
      </c>
      <c r="N136" s="59" t="str">
        <f aca="false">IF(L136&lt;$D$27,"忽略不计",M136)</f>
        <v>忽略不计</v>
      </c>
      <c r="IJ136" s="1"/>
      <c r="IK136" s="1"/>
      <c r="IL136" s="1"/>
    </row>
    <row r="137" customFormat="false" ht="17.15" hidden="false" customHeight="false" outlineLevel="0" collapsed="false">
      <c r="A137" s="58"/>
      <c r="B137" s="55" t="s">
        <v>84</v>
      </c>
      <c r="C137" s="57" t="n">
        <f aca="false">tranvalue(D137/$D$115,2)</f>
        <v>0</v>
      </c>
      <c r="D137" s="60"/>
      <c r="E137" s="61"/>
      <c r="F137" s="59" t="n">
        <f aca="false">IF(E137="n.a.","n.a.",tranvalue(E137/($E$115*$F$115)*100,IF(E137/($E$115*$F$115)*100&lt;0.0001,5,IF(E137/($E$115*$F$115)*100&lt;0.001,4,IF(E137/($E$115*$F$115)*100&lt;0.01,3,IF(E137/($E$115*$F$115)*100&lt;0.1,2,IF(E137/($E$115*$F$115)*100&lt;1,1,0)))))))</f>
        <v>0</v>
      </c>
      <c r="G137" s="59" t="str">
        <f aca="false">IF(E137&lt;$D$27,"忽略不计",F137)</f>
        <v>忽略不计</v>
      </c>
      <c r="H137" s="58"/>
      <c r="I137" s="55" t="s">
        <v>84</v>
      </c>
      <c r="J137" s="57" t="n">
        <f aca="false">tranvalue(K137/$K$115,2)</f>
        <v>0</v>
      </c>
      <c r="K137" s="60"/>
      <c r="L137" s="62"/>
      <c r="M137" s="59" t="n">
        <f aca="false">IF(L137="n.a.","n.a.",tranvalue(L137/($L$115*$M$115)*100,IF(L137/($L$115*$M$115)*100&lt;0.0001,5,IF(L137/($L$115*$M$115)*100&lt;0.001,4,IF(L137/($L$115*$M$115)*100&lt;0.01,3,IF(L137/($L$115*$M$115)*100&lt;0.1,2,IF(L137/($L$115*$M$115)*100&lt;1,1,0)))))))</f>
        <v>0</v>
      </c>
      <c r="N137" s="59" t="str">
        <f aca="false">IF(L137&lt;$D$27,"忽略不计",M137)</f>
        <v>忽略不计</v>
      </c>
      <c r="IJ137" s="1"/>
      <c r="IK137" s="1"/>
      <c r="IL137" s="1"/>
    </row>
    <row r="138" customFormat="false" ht="29.1" hidden="false" customHeight="true" outlineLevel="0" collapsed="false">
      <c r="A138" s="55" t="s">
        <v>85</v>
      </c>
      <c r="B138" s="56" t="s">
        <v>86</v>
      </c>
      <c r="C138" s="56"/>
      <c r="D138" s="56"/>
      <c r="E138" s="56"/>
      <c r="F138" s="63" t="n">
        <f aca="false">MAX(F118:F137)</f>
        <v>0.06</v>
      </c>
      <c r="G138" s="59" t="n">
        <f aca="false">IF(MAX(E118:E137)&lt;$D$27,"忽略不计",F138)</f>
        <v>0.06</v>
      </c>
      <c r="H138" s="55" t="s">
        <v>85</v>
      </c>
      <c r="I138" s="56" t="s">
        <v>86</v>
      </c>
      <c r="J138" s="56"/>
      <c r="K138" s="56"/>
      <c r="L138" s="56"/>
      <c r="M138" s="63" t="n">
        <f aca="false">MAX(M118:M137)</f>
        <v>0.05</v>
      </c>
      <c r="N138" s="59" t="str">
        <f aca="false">IF(MAX(L118:L137)&lt;$D$27,"忽略不计",M138)</f>
        <v>忽略不计</v>
      </c>
      <c r="R138" s="2"/>
      <c r="IJ138" s="1"/>
    </row>
    <row r="139" customFormat="false" ht="17.15" hidden="false" customHeight="true" outlineLevel="0" collapsed="false">
      <c r="A139" s="55"/>
      <c r="B139" s="56" t="s">
        <v>87</v>
      </c>
      <c r="C139" s="56"/>
      <c r="D139" s="56"/>
      <c r="E139" s="56"/>
      <c r="F139" s="63" t="n">
        <f aca="false">IF(SUM(F117:F137)=0,0,tranvalue(SUM(F117:F137),IF(SUM(F117:F137)&lt;0.0001,6,IF(SUM(F117:F137)&lt;0.001,5,IF(SUM(F117:F137)&lt;0.01,4,IF(SUM(F117:F137)&lt;0.1,3,IF(SUM(F117:F137)&lt;1,2,1)))))))</f>
        <v>0.29</v>
      </c>
      <c r="G139" s="63"/>
      <c r="H139" s="55"/>
      <c r="I139" s="56" t="s">
        <v>87</v>
      </c>
      <c r="J139" s="56"/>
      <c r="K139" s="56"/>
      <c r="L139" s="56"/>
      <c r="M139" s="63" t="n">
        <f aca="false">IF(SUM(M117:M137)=0,0,tranvalue(SUM(M117:M137),IF(SUM(M117:M137)&lt;0.0001,6,IF(SUM(M117:M137)&lt;0.001,5,IF(SUM(M117:M137)&lt;0.01,4,IF(SUM(M117:M137)&lt;0.1,3,IF(SUM(M117:M137)&lt;1,2,1)))))))</f>
        <v>0.27</v>
      </c>
      <c r="N139" s="63"/>
      <c r="R139" s="2"/>
      <c r="IJ139" s="1"/>
    </row>
    <row r="140" customFormat="false" ht="17.15" hidden="false" customHeight="true" outlineLevel="0" collapsed="false">
      <c r="A140" s="55"/>
      <c r="B140" s="56" t="s">
        <v>88</v>
      </c>
      <c r="C140" s="56"/>
      <c r="D140" s="56"/>
      <c r="E140" s="56"/>
      <c r="F140" s="63" t="n">
        <f aca="false">IF(SUM(G117:G137)=0,"0",tranvalue(SUM(G117:G137),IF(SUM(G117:G137)&lt;0.0001,6,IF(SUM(G117:G137)&lt;0.001,5,IF(SUM(G117:G137)&lt;0.01,4,IF(SUM(G117:G137)&lt;0.1,3,IF(SUM(G117:G137)&lt;1,2,1)))))))</f>
        <v>0.06</v>
      </c>
      <c r="G140" s="63"/>
      <c r="H140" s="55"/>
      <c r="I140" s="56" t="s">
        <v>88</v>
      </c>
      <c r="J140" s="56"/>
      <c r="K140" s="56"/>
      <c r="L140" s="56"/>
      <c r="M140" s="63" t="str">
        <f aca="false">IF(SUM(N117:N137)=0,"0",tranvalue(SUM(N117:N137),IF(SUM(N117:N137)&lt;0.0001,6,IF(SUM(N117:N137)&lt;0.001,5,IF(SUM(N117:N137)&lt;0.01,4,IF(SUM(N117:N137)&lt;0.1,3,IF(SUM(N117:N137)&lt;1,2,1)))))))</f>
        <v>0</v>
      </c>
      <c r="N140" s="63"/>
      <c r="R140" s="2"/>
      <c r="IJ140" s="1"/>
    </row>
    <row r="141" customFormat="false" ht="13.8" hidden="false" customHeight="false" outlineLevel="0" collapsed="false">
      <c r="R141" s="2"/>
      <c r="IJ141" s="1"/>
    </row>
    <row r="142" customFormat="false" ht="14.25" hidden="false" customHeight="true" outlineLevel="0" collapsed="false">
      <c r="B142" s="1" t="s">
        <v>89</v>
      </c>
      <c r="F142" s="64"/>
      <c r="R142" s="2"/>
      <c r="IJ142" s="1"/>
    </row>
    <row r="143" customFormat="false" ht="13.8" hidden="false" customHeight="false" outlineLevel="0" collapsed="false">
      <c r="R143" s="2"/>
      <c r="IJ143" s="1"/>
    </row>
    <row r="144" customFormat="false" ht="13.8" hidden="false" customHeight="false" outlineLevel="0" collapsed="false">
      <c r="P144" s="65"/>
      <c r="R144" s="2"/>
      <c r="IJ144" s="1"/>
    </row>
    <row r="145" customFormat="false" ht="13.8" hidden="false" customHeight="false" outlineLevel="0" collapsed="false">
      <c r="P145" s="65"/>
      <c r="R145" s="2"/>
      <c r="IJ145" s="1"/>
    </row>
    <row r="146" customFormat="false" ht="13.8" hidden="false" customHeight="false" outlineLevel="0" collapsed="false">
      <c r="P146" s="65"/>
      <c r="R146" s="2"/>
      <c r="IJ146" s="1"/>
    </row>
    <row r="147" customFormat="false" ht="13.8" hidden="false" customHeight="false" outlineLevel="0" collapsed="false">
      <c r="B147" s="1" t="s">
        <v>90</v>
      </c>
      <c r="P147" s="65"/>
      <c r="R147" s="2"/>
      <c r="IJ147" s="1"/>
    </row>
    <row r="148" customFormat="false" ht="13.8" hidden="false" customHeight="false" outlineLevel="0" collapsed="false">
      <c r="P148" s="65"/>
      <c r="R148" s="2"/>
      <c r="IJ148" s="1"/>
    </row>
    <row r="149" customFormat="false" ht="13.8" hidden="false" customHeight="false" outlineLevel="0" collapsed="false">
      <c r="R149" s="2"/>
      <c r="IJ149" s="1"/>
    </row>
    <row r="150" customFormat="false" ht="13.8" hidden="false" customHeight="false" outlineLevel="0" collapsed="false">
      <c r="R150" s="2"/>
      <c r="IJ150" s="1"/>
    </row>
    <row r="151" customFormat="false" ht="17.15" hidden="false" customHeight="false" outlineLevel="0" collapsed="false">
      <c r="A151" s="1" t="s">
        <v>91</v>
      </c>
      <c r="D151" s="2"/>
      <c r="H151" s="1" t="s">
        <v>92</v>
      </c>
      <c r="R151" s="2"/>
      <c r="IJ151" s="1"/>
    </row>
    <row r="154" customFormat="false" ht="16.65" hidden="false" customHeight="false" outlineLevel="0" collapsed="false">
      <c r="A154" s="42" t="s">
        <v>50</v>
      </c>
      <c r="B154" s="22" t="s">
        <v>97</v>
      </c>
      <c r="C154" s="22"/>
      <c r="D154" s="22"/>
      <c r="E154" s="22"/>
      <c r="F154" s="22"/>
      <c r="G154" s="22"/>
      <c r="H154" s="42" t="s">
        <v>50</v>
      </c>
      <c r="I154" s="22" t="s">
        <v>98</v>
      </c>
      <c r="J154" s="22"/>
      <c r="K154" s="22"/>
      <c r="L154" s="22"/>
      <c r="M154" s="22"/>
      <c r="N154" s="22"/>
      <c r="R154" s="2"/>
      <c r="IJ154" s="1"/>
    </row>
    <row r="155" customFormat="false" ht="43.5" hidden="false" customHeight="true" outlineLevel="0" collapsed="false">
      <c r="A155" s="52" t="s">
        <v>23</v>
      </c>
      <c r="B155" s="53" t="s">
        <v>53</v>
      </c>
      <c r="C155" s="53" t="s">
        <v>54</v>
      </c>
      <c r="D155" s="43" t="s">
        <v>55</v>
      </c>
      <c r="E155" s="43" t="s">
        <v>48</v>
      </c>
      <c r="F155" s="52" t="s">
        <v>56</v>
      </c>
      <c r="G155" s="52"/>
      <c r="H155" s="52" t="s">
        <v>23</v>
      </c>
      <c r="I155" s="52" t="s">
        <v>53</v>
      </c>
      <c r="J155" s="52" t="s">
        <v>54</v>
      </c>
      <c r="K155" s="43" t="s">
        <v>55</v>
      </c>
      <c r="L155" s="43" t="s">
        <v>48</v>
      </c>
      <c r="M155" s="52" t="s">
        <v>56</v>
      </c>
      <c r="N155" s="52"/>
      <c r="R155" s="2"/>
      <c r="IJ155" s="1"/>
      <c r="IK155" s="1"/>
      <c r="IL155" s="1"/>
    </row>
    <row r="156" customFormat="false" ht="17.15" hidden="false" customHeight="false" outlineLevel="0" collapsed="false">
      <c r="A156" s="55" t="s">
        <v>57</v>
      </c>
      <c r="B156" s="56" t="s">
        <v>58</v>
      </c>
      <c r="C156" s="57" t="n">
        <f aca="false">D156/$D$156</f>
        <v>1</v>
      </c>
      <c r="D156" s="44" t="n">
        <v>14.832</v>
      </c>
      <c r="E156" s="34" t="n">
        <v>0.1584</v>
      </c>
      <c r="F156" s="38" t="n">
        <f aca="false">100/0.1</f>
        <v>1000</v>
      </c>
      <c r="G156" s="38"/>
      <c r="H156" s="55" t="s">
        <v>57</v>
      </c>
      <c r="I156" s="56" t="s">
        <v>58</v>
      </c>
      <c r="J156" s="57" t="n">
        <f aca="false">K156/$K$156</f>
        <v>1</v>
      </c>
      <c r="K156" s="44" t="n">
        <v>14.837</v>
      </c>
      <c r="L156" s="34" t="n">
        <v>0.1536</v>
      </c>
      <c r="M156" s="38" t="n">
        <f aca="false">100/0.1</f>
        <v>1000</v>
      </c>
      <c r="N156" s="38"/>
      <c r="R156" s="2"/>
      <c r="IJ156" s="1"/>
      <c r="IK156" s="1"/>
      <c r="IL156" s="1"/>
    </row>
    <row r="157" customFormat="false" ht="32.8" hidden="false" customHeight="false" outlineLevel="0" collapsed="false">
      <c r="A157" s="52" t="s">
        <v>23</v>
      </c>
      <c r="B157" s="52" t="s">
        <v>59</v>
      </c>
      <c r="C157" s="53" t="s">
        <v>54</v>
      </c>
      <c r="D157" s="43" t="s">
        <v>55</v>
      </c>
      <c r="E157" s="43" t="s">
        <v>48</v>
      </c>
      <c r="F157" s="52" t="s">
        <v>60</v>
      </c>
      <c r="G157" s="52" t="s">
        <v>61</v>
      </c>
      <c r="H157" s="52" t="s">
        <v>23</v>
      </c>
      <c r="I157" s="52" t="s">
        <v>59</v>
      </c>
      <c r="J157" s="53" t="s">
        <v>54</v>
      </c>
      <c r="K157" s="43" t="s">
        <v>55</v>
      </c>
      <c r="L157" s="43" t="s">
        <v>48</v>
      </c>
      <c r="M157" s="52" t="s">
        <v>60</v>
      </c>
      <c r="N157" s="52" t="s">
        <v>61</v>
      </c>
      <c r="R157" s="2"/>
      <c r="IJ157" s="1"/>
      <c r="IK157" s="1"/>
      <c r="IL157" s="1"/>
    </row>
    <row r="158" customFormat="false" ht="17.15" hidden="false" customHeight="false" outlineLevel="0" collapsed="false">
      <c r="A158" s="58" t="s">
        <v>62</v>
      </c>
      <c r="B158" s="55" t="s">
        <v>63</v>
      </c>
      <c r="C158" s="57" t="n">
        <f aca="false">tranvalue(D158/$D$156,2)</f>
        <v>1.08</v>
      </c>
      <c r="D158" s="44" t="n">
        <v>16.078</v>
      </c>
      <c r="E158" s="36" t="n">
        <v>0.0437</v>
      </c>
      <c r="F158" s="59" t="n">
        <f aca="false">IF(E158="n.a.","n.a.",tranvalue(E158/($E$156*$F$156)*100,IF(E158/($E$156*$F$156)*100&lt;0.0001,5,IF(E158/($E$156*$F$156)*100&lt;0.001,4,IF(E158/($E$156*$F$156)*100&lt;0.01,3,IF(E158/($E$156*$F$156)*100&lt;0.1,2,IF(E158/($E$156*$F$156)*100&lt;1,1,0)))))))</f>
        <v>0.03</v>
      </c>
      <c r="G158" s="59" t="str">
        <f aca="false">IF(E158&lt;$D$27,"忽略不计",F158)</f>
        <v>忽略不计</v>
      </c>
      <c r="H158" s="58" t="s">
        <v>62</v>
      </c>
      <c r="I158" s="55" t="s">
        <v>63</v>
      </c>
      <c r="J158" s="57" t="n">
        <f aca="false">tranvalue(K158/$K$156,2)</f>
        <v>1.08</v>
      </c>
      <c r="K158" s="44" t="n">
        <v>16.032</v>
      </c>
      <c r="L158" s="36" t="n">
        <v>0.0684</v>
      </c>
      <c r="M158" s="59" t="n">
        <f aca="false">IF(L158="n.a.","n.a.",tranvalue(L158/($L$156*$M$156)*100,IF(L158/($L$156*$M$156)*100&lt;0.0001,5,IF(L158/($L$156*$M$156)*100&lt;0.001,4,IF(L158/($L$156*$M$156)*100&lt;0.01,3,IF(L158/($L$156*$M$156)*100&lt;0.1,2,IF(L158/($L$156*$M$156)*100&lt;1,1,0)))))))</f>
        <v>0.04</v>
      </c>
      <c r="N158" s="59" t="str">
        <f aca="false">IF(L158&lt;$D$27,"忽略不计",M158)</f>
        <v>忽略不计</v>
      </c>
      <c r="R158" s="2"/>
      <c r="IJ158" s="1"/>
      <c r="IK158" s="1"/>
      <c r="IL158" s="1"/>
    </row>
    <row r="159" customFormat="false" ht="17.15" hidden="false" customHeight="true" outlineLevel="0" collapsed="false">
      <c r="A159" s="58" t="s">
        <v>64</v>
      </c>
      <c r="B159" s="55" t="s">
        <v>65</v>
      </c>
      <c r="C159" s="57" t="n">
        <f aca="false">tranvalue(D159/$D$156,2)</f>
        <v>0.29</v>
      </c>
      <c r="D159" s="44" t="n">
        <v>4.313</v>
      </c>
      <c r="E159" s="36" t="n">
        <v>0.0374</v>
      </c>
      <c r="F159" s="59" t="n">
        <f aca="false">IF(E159="n.a.","n.a.",tranvalue(E159/($E$156*$F$156)*100,IF(E159/($E$156*$F$156)*100&lt;0.0001,5,IF(E159/($E$156*$F$156)*100&lt;0.001,4,IF(E159/($E$156*$F$156)*100&lt;0.01,3,IF(E159/($E$156*$F$156)*100&lt;0.1,2,IF(E159/($E$156*$F$156)*100&lt;1,1,0)))))))</f>
        <v>0.02</v>
      </c>
      <c r="G159" s="59" t="str">
        <f aca="false">IF(E159&lt;$D$27,"忽略不计",F159)</f>
        <v>忽略不计</v>
      </c>
      <c r="H159" s="58" t="s">
        <v>64</v>
      </c>
      <c r="I159" s="55" t="s">
        <v>65</v>
      </c>
      <c r="J159" s="57" t="n">
        <f aca="false">tranvalue(K159/$K$156,2)</f>
        <v>0.29</v>
      </c>
      <c r="K159" s="44" t="n">
        <v>4.313</v>
      </c>
      <c r="L159" s="34" t="n">
        <v>0.0504</v>
      </c>
      <c r="M159" s="59" t="n">
        <f aca="false">IF(L159="n.a.","n.a.",tranvalue(L159/($L$156*$M$156)*100,IF(L159/($L$156*$M$156)*100&lt;0.0001,5,IF(L159/($L$156*$M$156)*100&lt;0.001,4,IF(L159/($L$156*$M$156)*100&lt;0.01,3,IF(L159/($L$156*$M$156)*100&lt;0.1,2,IF(L159/($L$156*$M$156)*100&lt;1,1,0)))))))</f>
        <v>0.03</v>
      </c>
      <c r="N159" s="59" t="str">
        <f aca="false">IF(L159&lt;$D$27,"忽略不计",M159)</f>
        <v>忽略不计</v>
      </c>
      <c r="R159" s="2"/>
      <c r="IJ159" s="1"/>
      <c r="IK159" s="1"/>
      <c r="IL159" s="1"/>
    </row>
    <row r="160" customFormat="false" ht="17.15" hidden="false" customHeight="false" outlineLevel="0" collapsed="false">
      <c r="A160" s="58"/>
      <c r="B160" s="55" t="s">
        <v>66</v>
      </c>
      <c r="C160" s="57" t="n">
        <f aca="false">tranvalue(D160/$D$156,2)</f>
        <v>0.34</v>
      </c>
      <c r="D160" s="44" t="n">
        <v>5.105</v>
      </c>
      <c r="E160" s="36" t="n">
        <v>0.0115</v>
      </c>
      <c r="F160" s="59" t="n">
        <f aca="false">IF(E160="n.a.","n.a.",tranvalue(E160/($E$156*$F$156)*100,IF(E160/($E$156*$F$156)*100&lt;0.0001,5,IF(E160/($E$156*$F$156)*100&lt;0.001,4,IF(E160/($E$156*$F$156)*100&lt;0.01,3,IF(E160/($E$156*$F$156)*100&lt;0.1,2,IF(E160/($E$156*$F$156)*100&lt;1,1,0)))))))</f>
        <v>0.007</v>
      </c>
      <c r="G160" s="59" t="str">
        <f aca="false">IF(E160&lt;$D$27,"忽略不计",F160)</f>
        <v>忽略不计</v>
      </c>
      <c r="H160" s="58"/>
      <c r="I160" s="55" t="s">
        <v>66</v>
      </c>
      <c r="J160" s="57" t="n">
        <f aca="false">tranvalue(K160/$K$156,2)</f>
        <v>0.34</v>
      </c>
      <c r="K160" s="44" t="n">
        <v>5.102</v>
      </c>
      <c r="L160" s="34" t="n">
        <v>0.0157</v>
      </c>
      <c r="M160" s="59" t="n">
        <f aca="false">IF(L160="n.a.","n.a.",tranvalue(L160/($L$156*$M$156)*100,IF(L160/($L$156*$M$156)*100&lt;0.0001,5,IF(L160/($L$156*$M$156)*100&lt;0.001,4,IF(L160/($L$156*$M$156)*100&lt;0.01,3,IF(L160/($L$156*$M$156)*100&lt;0.1,2,IF(L160/($L$156*$M$156)*100&lt;1,1,0)))))))</f>
        <v>0.01</v>
      </c>
      <c r="N160" s="59" t="str">
        <f aca="false">IF(L160&lt;$D$27,"忽略不计",M160)</f>
        <v>忽略不计</v>
      </c>
      <c r="R160" s="2"/>
      <c r="IJ160" s="1"/>
      <c r="IK160" s="1"/>
      <c r="IL160" s="1"/>
    </row>
    <row r="161" customFormat="false" ht="17.15" hidden="false" customHeight="false" outlineLevel="0" collapsed="false">
      <c r="A161" s="58"/>
      <c r="B161" s="55" t="s">
        <v>67</v>
      </c>
      <c r="C161" s="57" t="n">
        <f aca="false">tranvalue(D161/$D$156,2)</f>
        <v>0.44</v>
      </c>
      <c r="D161" s="44" t="n">
        <v>6.535</v>
      </c>
      <c r="E161" s="36" t="n">
        <v>0.0158</v>
      </c>
      <c r="F161" s="59" t="n">
        <f aca="false">IF(E161="n.a.","n.a.",tranvalue(E161/($E$156*$F$156)*100,IF(E161/($E$156*$F$156)*100&lt;0.0001,5,IF(E161/($E$156*$F$156)*100&lt;0.001,4,IF(E161/($E$156*$F$156)*100&lt;0.01,3,IF(E161/($E$156*$F$156)*100&lt;0.1,2,IF(E161/($E$156*$F$156)*100&lt;1,1,0)))))))</f>
        <v>0.01</v>
      </c>
      <c r="G161" s="59" t="str">
        <f aca="false">IF(E161&lt;$D$27,"忽略不计",F161)</f>
        <v>忽略不计</v>
      </c>
      <c r="H161" s="58"/>
      <c r="I161" s="55" t="s">
        <v>67</v>
      </c>
      <c r="J161" s="57" t="n">
        <f aca="false">tranvalue(K161/$K$156,2)</f>
        <v>0.44</v>
      </c>
      <c r="K161" s="44" t="n">
        <v>6.538</v>
      </c>
      <c r="L161" s="34" t="n">
        <v>0.0188</v>
      </c>
      <c r="M161" s="59" t="n">
        <f aca="false">IF(L161="n.a.","n.a.",tranvalue(L161/($L$156*$M$156)*100,IF(L161/($L$156*$M$156)*100&lt;0.0001,5,IF(L161/($L$156*$M$156)*100&lt;0.001,4,IF(L161/($L$156*$M$156)*100&lt;0.01,3,IF(L161/($L$156*$M$156)*100&lt;0.1,2,IF(L161/($L$156*$M$156)*100&lt;1,1,0)))))))</f>
        <v>0.01</v>
      </c>
      <c r="N161" s="59" t="str">
        <f aca="false">IF(L161&lt;$D$27,"忽略不计",M161)</f>
        <v>忽略不计</v>
      </c>
      <c r="R161" s="2"/>
      <c r="IJ161" s="1"/>
      <c r="IK161" s="1"/>
      <c r="IL161" s="1"/>
    </row>
    <row r="162" customFormat="false" ht="17.15" hidden="false" customHeight="false" outlineLevel="0" collapsed="false">
      <c r="A162" s="58"/>
      <c r="B162" s="55" t="s">
        <v>68</v>
      </c>
      <c r="C162" s="57" t="n">
        <f aca="false">tranvalue(D162/$D$156,2)</f>
        <v>0.65</v>
      </c>
      <c r="D162" s="44" t="n">
        <v>9.603</v>
      </c>
      <c r="E162" s="36" t="n">
        <v>0.088</v>
      </c>
      <c r="F162" s="59" t="n">
        <f aca="false">IF(E162="n.a.","n.a.",tranvalue(E162/($E$156*$F$156)*100,IF(E162/($E$156*$F$156)*100&lt;0.0001,5,IF(E162/($E$156*$F$156)*100&lt;0.001,4,IF(E162/($E$156*$F$156)*100&lt;0.01,3,IF(E162/($E$156*$F$156)*100&lt;0.1,2,IF(E162/($E$156*$F$156)*100&lt;1,1,0)))))))</f>
        <v>0.06</v>
      </c>
      <c r="G162" s="59" t="n">
        <f aca="false">IF(E162&lt;$D$27,"忽略不计",F162)</f>
        <v>0.06</v>
      </c>
      <c r="H162" s="58"/>
      <c r="I162" s="55" t="s">
        <v>68</v>
      </c>
      <c r="J162" s="57" t="n">
        <f aca="false">tranvalue(K162/$K$156,2)</f>
        <v>0.65</v>
      </c>
      <c r="K162" s="44" t="n">
        <v>9.597</v>
      </c>
      <c r="L162" s="34" t="n">
        <v>0.0866</v>
      </c>
      <c r="M162" s="59" t="n">
        <f aca="false">IF(L162="n.a.","n.a.",tranvalue(L162/($L$156*$M$156)*100,IF(L162/($L$156*$M$156)*100&lt;0.0001,5,IF(L162/($L$156*$M$156)*100&lt;0.001,4,IF(L162/($L$156*$M$156)*100&lt;0.01,3,IF(L162/($L$156*$M$156)*100&lt;0.1,2,IF(L162/($L$156*$M$156)*100&lt;1,1,0)))))))</f>
        <v>0.06</v>
      </c>
      <c r="N162" s="59" t="n">
        <f aca="false">IF(L162&lt;$D$27,"忽略不计",M162)</f>
        <v>0.06</v>
      </c>
      <c r="R162" s="2"/>
      <c r="IJ162" s="1"/>
      <c r="IK162" s="1"/>
      <c r="IL162" s="1"/>
    </row>
    <row r="163" customFormat="false" ht="17.15" hidden="false" customHeight="false" outlineLevel="0" collapsed="false">
      <c r="A163" s="58"/>
      <c r="B163" s="55" t="s">
        <v>69</v>
      </c>
      <c r="C163" s="57" t="n">
        <f aca="false">tranvalue(D163/$D$156,2)</f>
        <v>0.85</v>
      </c>
      <c r="D163" s="44" t="n">
        <v>12.557</v>
      </c>
      <c r="E163" s="36" t="n">
        <v>0.0254</v>
      </c>
      <c r="F163" s="59" t="n">
        <f aca="false">IF(E163="n.a.","n.a.",tranvalue(E163/($E$156*$F$156)*100,IF(E163/($E$156*$F$156)*100&lt;0.0001,5,IF(E163/($E$156*$F$156)*100&lt;0.001,4,IF(E163/($E$156*$F$156)*100&lt;0.01,3,IF(E163/($E$156*$F$156)*100&lt;0.1,2,IF(E163/($E$156*$F$156)*100&lt;1,1,0)))))))</f>
        <v>0.02</v>
      </c>
      <c r="G163" s="59" t="str">
        <f aca="false">IF(E163&lt;$D$27,"忽略不计",F163)</f>
        <v>忽略不计</v>
      </c>
      <c r="H163" s="58"/>
      <c r="I163" s="55" t="s">
        <v>69</v>
      </c>
      <c r="J163" s="57" t="n">
        <f aca="false">tranvalue(K163/$K$156,2)</f>
        <v>0.84</v>
      </c>
      <c r="K163" s="44" t="n">
        <v>12.525</v>
      </c>
      <c r="L163" s="34" t="n">
        <v>0.0258</v>
      </c>
      <c r="M163" s="59" t="n">
        <f aca="false">IF(L163="n.a.","n.a.",tranvalue(L163/($L$156*$M$156)*100,IF(L163/($L$156*$M$156)*100&lt;0.0001,5,IF(L163/($L$156*$M$156)*100&lt;0.001,4,IF(L163/($L$156*$M$156)*100&lt;0.01,3,IF(L163/($L$156*$M$156)*100&lt;0.1,2,IF(L163/($L$156*$M$156)*100&lt;1,1,0)))))))</f>
        <v>0.02</v>
      </c>
      <c r="N163" s="59" t="str">
        <f aca="false">IF(L163&lt;$D$27,"忽略不计",M163)</f>
        <v>忽略不计</v>
      </c>
      <c r="R163" s="2"/>
      <c r="IJ163" s="1"/>
      <c r="IK163" s="1"/>
      <c r="IL163" s="1"/>
    </row>
    <row r="164" customFormat="false" ht="17.15" hidden="false" customHeight="false" outlineLevel="0" collapsed="false">
      <c r="A164" s="58"/>
      <c r="B164" s="55" t="s">
        <v>70</v>
      </c>
      <c r="C164" s="57" t="n">
        <f aca="false">tranvalue(D164/$D$156,2)</f>
        <v>1.65</v>
      </c>
      <c r="D164" s="44" t="n">
        <v>24.423</v>
      </c>
      <c r="E164" s="36" t="n">
        <v>0.0262</v>
      </c>
      <c r="F164" s="59" t="n">
        <f aca="false">IF(E164="n.a.","n.a.",tranvalue(E164/($E$156*$F$156)*100,IF(E164/($E$156*$F$156)*100&lt;0.0001,5,IF(E164/($E$156*$F$156)*100&lt;0.001,4,IF(E164/($E$156*$F$156)*100&lt;0.01,3,IF(E164/($E$156*$F$156)*100&lt;0.1,2,IF(E164/($E$156*$F$156)*100&lt;1,1,0)))))))</f>
        <v>0.02</v>
      </c>
      <c r="G164" s="59" t="str">
        <f aca="false">IF(E164&lt;$D$27,"忽略不计",F164)</f>
        <v>忽略不计</v>
      </c>
      <c r="H164" s="58"/>
      <c r="I164" s="55" t="s">
        <v>70</v>
      </c>
      <c r="J164" s="57" t="n">
        <f aca="false">tranvalue(K164/$K$156,2)</f>
        <v>1.65</v>
      </c>
      <c r="K164" s="44" t="n">
        <v>24.428</v>
      </c>
      <c r="L164" s="34" t="n">
        <v>0.0271</v>
      </c>
      <c r="M164" s="59" t="n">
        <f aca="false">IF(L164="n.a.","n.a.",tranvalue(L164/($L$156*$M$156)*100,IF(L164/($L$156*$M$156)*100&lt;0.0001,5,IF(L164/($L$156*$M$156)*100&lt;0.001,4,IF(L164/($L$156*$M$156)*100&lt;0.01,3,IF(L164/($L$156*$M$156)*100&lt;0.1,2,IF(L164/($L$156*$M$156)*100&lt;1,1,0)))))))</f>
        <v>0.02</v>
      </c>
      <c r="N164" s="59" t="str">
        <f aca="false">IF(L164&lt;$D$27,"忽略不计",M164)</f>
        <v>忽略不计</v>
      </c>
      <c r="R164" s="2"/>
      <c r="IJ164" s="1"/>
      <c r="IK164" s="1"/>
      <c r="IL164" s="1"/>
    </row>
    <row r="165" customFormat="false" ht="17.15" hidden="false" customHeight="false" outlineLevel="0" collapsed="false">
      <c r="A165" s="58"/>
      <c r="B165" s="55" t="s">
        <v>71</v>
      </c>
      <c r="C165" s="57" t="n">
        <f aca="false">tranvalue(D165/$D$156,2)</f>
        <v>1.74</v>
      </c>
      <c r="D165" s="44" t="n">
        <v>25.802</v>
      </c>
      <c r="E165" s="36" t="n">
        <v>0.0284</v>
      </c>
      <c r="F165" s="59" t="n">
        <f aca="false">IF(E165="n.a.","n.a.",tranvalue(E165/($E$156*$F$156)*100,IF(E165/($E$156*$F$156)*100&lt;0.0001,5,IF(E165/($E$156*$F$156)*100&lt;0.001,4,IF(E165/($E$156*$F$156)*100&lt;0.01,3,IF(E165/($E$156*$F$156)*100&lt;0.1,2,IF(E165/($E$156*$F$156)*100&lt;1,1,0)))))))</f>
        <v>0.02</v>
      </c>
      <c r="G165" s="59" t="str">
        <f aca="false">IF(E165&lt;$D$27,"忽略不计",F165)</f>
        <v>忽略不计</v>
      </c>
      <c r="H165" s="58"/>
      <c r="I165" s="55" t="s">
        <v>71</v>
      </c>
      <c r="J165" s="57" t="n">
        <f aca="false">tranvalue(K165/$K$156,2)</f>
        <v>1.74</v>
      </c>
      <c r="K165" s="44" t="n">
        <v>25.793</v>
      </c>
      <c r="L165" s="34" t="n">
        <v>0.0241</v>
      </c>
      <c r="M165" s="59" t="n">
        <f aca="false">IF(L165="n.a.","n.a.",tranvalue(L165/($L$156*$M$156)*100,IF(L165/($L$156*$M$156)*100&lt;0.0001,5,IF(L165/($L$156*$M$156)*100&lt;0.001,4,IF(L165/($L$156*$M$156)*100&lt;0.01,3,IF(L165/($L$156*$M$156)*100&lt;0.1,2,IF(L165/($L$156*$M$156)*100&lt;1,1,0)))))))</f>
        <v>0.02</v>
      </c>
      <c r="N165" s="59" t="str">
        <f aca="false">IF(L165&lt;$D$27,"忽略不计",M165)</f>
        <v>忽略不计</v>
      </c>
      <c r="R165" s="2"/>
      <c r="IJ165" s="1"/>
      <c r="IK165" s="1"/>
      <c r="IL165" s="1"/>
    </row>
    <row r="166" customFormat="false" ht="17.15" hidden="false" customHeight="false" outlineLevel="0" collapsed="false">
      <c r="A166" s="58"/>
      <c r="B166" s="55" t="s">
        <v>72</v>
      </c>
      <c r="C166" s="57" t="n">
        <f aca="false">tranvalue(D166/$D$156,2)</f>
        <v>1.81</v>
      </c>
      <c r="D166" s="44" t="n">
        <v>26.785</v>
      </c>
      <c r="E166" s="36" t="n">
        <v>0.0556</v>
      </c>
      <c r="F166" s="59" t="n">
        <f aca="false">IF(E166="n.a.","n.a.",tranvalue(E166/($E$156*$F$156)*100,IF(E166/($E$156*$F$156)*100&lt;0.0001,5,IF(E166/($E$156*$F$156)*100&lt;0.001,4,IF(E166/($E$156*$F$156)*100&lt;0.01,3,IF(E166/($E$156*$F$156)*100&lt;0.1,2,IF(E166/($E$156*$F$156)*100&lt;1,1,0)))))))</f>
        <v>0.04</v>
      </c>
      <c r="G166" s="59" t="str">
        <f aca="false">IF(E166&lt;$D$27,"忽略不计",F166)</f>
        <v>忽略不计</v>
      </c>
      <c r="H166" s="58"/>
      <c r="I166" s="55" t="s">
        <v>72</v>
      </c>
      <c r="J166" s="57" t="n">
        <f aca="false">tranvalue(K166/$K$156,2)</f>
        <v>1.81</v>
      </c>
      <c r="K166" s="44" t="n">
        <v>26.782</v>
      </c>
      <c r="L166" s="34" t="n">
        <v>0.0558</v>
      </c>
      <c r="M166" s="59" t="n">
        <f aca="false">IF(L166="n.a.","n.a.",tranvalue(L166/($L$156*$M$156)*100,IF(L166/($L$156*$M$156)*100&lt;0.0001,5,IF(L166/($L$156*$M$156)*100&lt;0.001,4,IF(L166/($L$156*$M$156)*100&lt;0.01,3,IF(L166/($L$156*$M$156)*100&lt;0.1,2,IF(L166/($L$156*$M$156)*100&lt;1,1,0)))))))</f>
        <v>0.04</v>
      </c>
      <c r="N166" s="59" t="str">
        <f aca="false">IF(L166&lt;$D$27,"忽略不计",M166)</f>
        <v>忽略不计</v>
      </c>
      <c r="R166" s="2"/>
      <c r="IJ166" s="1"/>
      <c r="IK166" s="1"/>
      <c r="IL166" s="1"/>
    </row>
    <row r="167" customFormat="false" ht="17.15" hidden="false" customHeight="false" outlineLevel="0" collapsed="false">
      <c r="A167" s="58"/>
      <c r="B167" s="55" t="s">
        <v>73</v>
      </c>
      <c r="C167" s="57" t="n">
        <f aca="false">tranvalue(D167/$D$156,2)</f>
        <v>1.83</v>
      </c>
      <c r="D167" s="44" t="n">
        <v>27.165</v>
      </c>
      <c r="E167" s="36" t="n">
        <v>0.0699</v>
      </c>
      <c r="F167" s="59" t="n">
        <f aca="false">IF(E167="n.a.","n.a.",tranvalue(E167/($E$156*$F$156)*100,IF(E167/($E$156*$F$156)*100&lt;0.0001,5,IF(E167/($E$156*$F$156)*100&lt;0.001,4,IF(E167/($E$156*$F$156)*100&lt;0.01,3,IF(E167/($E$156*$F$156)*100&lt;0.1,2,IF(E167/($E$156*$F$156)*100&lt;1,1,0)))))))</f>
        <v>0.04</v>
      </c>
      <c r="G167" s="59" t="str">
        <f aca="false">IF(E167&lt;$D$27,"忽略不计",F167)</f>
        <v>忽略不计</v>
      </c>
      <c r="H167" s="58"/>
      <c r="I167" s="55" t="s">
        <v>73</v>
      </c>
      <c r="J167" s="57" t="n">
        <f aca="false">tranvalue(K167/$K$156,2)</f>
        <v>1.83</v>
      </c>
      <c r="K167" s="44" t="n">
        <v>27.16</v>
      </c>
      <c r="L167" s="36" t="n">
        <v>0.0648</v>
      </c>
      <c r="M167" s="59" t="n">
        <f aca="false">IF(L167="n.a.","n.a.",tranvalue(L167/($L$156*$M$156)*100,IF(L167/($L$156*$M$156)*100&lt;0.0001,5,IF(L167/($L$156*$M$156)*100&lt;0.001,4,IF(L167/($L$156*$M$156)*100&lt;0.01,3,IF(L167/($L$156*$M$156)*100&lt;0.1,2,IF(L167/($L$156*$M$156)*100&lt;1,1,0)))))))</f>
        <v>0.04</v>
      </c>
      <c r="N167" s="59" t="str">
        <f aca="false">IF(L167&lt;$D$27,"忽略不计",M167)</f>
        <v>忽略不计</v>
      </c>
      <c r="IJ167" s="1"/>
      <c r="IK167" s="1"/>
      <c r="IL167" s="1"/>
    </row>
    <row r="168" customFormat="false" ht="17.15" hidden="false" customHeight="false" outlineLevel="0" collapsed="false">
      <c r="A168" s="58"/>
      <c r="B168" s="55" t="s">
        <v>74</v>
      </c>
      <c r="C168" s="57" t="n">
        <f aca="false">tranvalue(D168/$D$156,2)</f>
        <v>1.87</v>
      </c>
      <c r="D168" s="44" t="n">
        <v>27.725</v>
      </c>
      <c r="E168" s="36" t="n">
        <v>0.0488</v>
      </c>
      <c r="F168" s="59" t="n">
        <f aca="false">IF(E168="n.a.","n.a.",tranvalue(E168/($E$156*$F$156)*100,IF(E168/($E$156*$F$156)*100&lt;0.0001,5,IF(E168/($E$156*$F$156)*100&lt;0.001,4,IF(E168/($E$156*$F$156)*100&lt;0.01,3,IF(E168/($E$156*$F$156)*100&lt;0.1,2,IF(E168/($E$156*$F$156)*100&lt;1,1,0)))))))</f>
        <v>0.03</v>
      </c>
      <c r="G168" s="59" t="str">
        <f aca="false">IF(E168&lt;$D$27,"忽略不计",F168)</f>
        <v>忽略不计</v>
      </c>
      <c r="H168" s="58"/>
      <c r="I168" s="55" t="s">
        <v>74</v>
      </c>
      <c r="J168" s="57" t="n">
        <f aca="false">tranvalue(K168/$K$156,2)</f>
        <v>1.87</v>
      </c>
      <c r="K168" s="44" t="n">
        <v>27.723</v>
      </c>
      <c r="L168" s="36" t="n">
        <v>0.0478</v>
      </c>
      <c r="M168" s="59" t="n">
        <f aca="false">IF(L168="n.a.","n.a.",tranvalue(L168/($L$156*$M$156)*100,IF(L168/($L$156*$M$156)*100&lt;0.0001,5,IF(L168/($L$156*$M$156)*100&lt;0.001,4,IF(L168/($L$156*$M$156)*100&lt;0.01,3,IF(L168/($L$156*$M$156)*100&lt;0.1,2,IF(L168/($L$156*$M$156)*100&lt;1,1,0)))))))</f>
        <v>0.03</v>
      </c>
      <c r="N168" s="59" t="str">
        <f aca="false">IF(L168&lt;$D$27,"忽略不计",M168)</f>
        <v>忽略不计</v>
      </c>
      <c r="IJ168" s="1"/>
      <c r="IK168" s="1"/>
      <c r="IL168" s="1"/>
    </row>
    <row r="169" customFormat="false" ht="17.15" hidden="false" customHeight="false" outlineLevel="0" collapsed="false">
      <c r="A169" s="58"/>
      <c r="B169" s="55" t="s">
        <v>75</v>
      </c>
      <c r="C169" s="57" t="n">
        <f aca="false">tranvalue(D169/$D$156,2)</f>
        <v>0</v>
      </c>
      <c r="D169" s="44"/>
      <c r="E169" s="36"/>
      <c r="F169" s="59" t="n">
        <f aca="false">IF(E169="n.a.","n.a.",tranvalue(E169/($E$156*$F$156)*100,IF(E169/($E$156*$F$156)*100&lt;0.0001,5,IF(E169/($E$156*$F$156)*100&lt;0.001,4,IF(E169/($E$156*$F$156)*100&lt;0.01,3,IF(E169/($E$156*$F$156)*100&lt;0.1,2,IF(E169/($E$156*$F$156)*100&lt;1,1,0)))))))</f>
        <v>0</v>
      </c>
      <c r="G169" s="59" t="str">
        <f aca="false">IF(E169&lt;$D$27,"忽略不计",F169)</f>
        <v>忽略不计</v>
      </c>
      <c r="H169" s="58"/>
      <c r="I169" s="55" t="s">
        <v>75</v>
      </c>
      <c r="J169" s="57" t="n">
        <f aca="false">tranvalue(K169/$K$156,2)</f>
        <v>0</v>
      </c>
      <c r="K169" s="44"/>
      <c r="L169" s="36"/>
      <c r="M169" s="59" t="n">
        <f aca="false">IF(L169="n.a.","n.a.",tranvalue(L169/($L$156*$M$156)*100,IF(L169/($L$156*$M$156)*100&lt;0.0001,5,IF(L169/($L$156*$M$156)*100&lt;0.001,4,IF(L169/($L$156*$M$156)*100&lt;0.01,3,IF(L169/($L$156*$M$156)*100&lt;0.1,2,IF(L169/($L$156*$M$156)*100&lt;1,1,0)))))))</f>
        <v>0</v>
      </c>
      <c r="N169" s="59" t="str">
        <f aca="false">IF(L169&lt;$D$27,"忽略不计",M169)</f>
        <v>忽略不计</v>
      </c>
      <c r="IJ169" s="1"/>
      <c r="IK169" s="1"/>
      <c r="IL169" s="1"/>
    </row>
    <row r="170" customFormat="false" ht="17.15" hidden="false" customHeight="false" outlineLevel="0" collapsed="false">
      <c r="A170" s="58"/>
      <c r="B170" s="55" t="s">
        <v>76</v>
      </c>
      <c r="C170" s="57" t="n">
        <f aca="false">tranvalue(D170/$D$156,2)</f>
        <v>0</v>
      </c>
      <c r="D170" s="44"/>
      <c r="E170" s="34"/>
      <c r="F170" s="59" t="n">
        <f aca="false">IF(E170="n.a.","n.a.",tranvalue(E170/($E$156*$F$156)*100,IF(E170/($E$156*$F$156)*100&lt;0.0001,5,IF(E170/($E$156*$F$156)*100&lt;0.001,4,IF(E170/($E$156*$F$156)*100&lt;0.01,3,IF(E170/($E$156*$F$156)*100&lt;0.1,2,IF(E170/($E$156*$F$156)*100&lt;1,1,0)))))))</f>
        <v>0</v>
      </c>
      <c r="G170" s="59" t="str">
        <f aca="false">IF(E170&lt;$D$27,"忽略不计",F170)</f>
        <v>忽略不计</v>
      </c>
      <c r="H170" s="58"/>
      <c r="I170" s="55" t="s">
        <v>76</v>
      </c>
      <c r="J170" s="57" t="n">
        <f aca="false">tranvalue(K170/$K$156,2)</f>
        <v>0</v>
      </c>
      <c r="K170" s="44"/>
      <c r="L170" s="36"/>
      <c r="M170" s="59" t="n">
        <f aca="false">IF(L170="n.a.","n.a.",tranvalue(L170/($L$156*$M$156)*100,IF(L170/($L$156*$M$156)*100&lt;0.0001,5,IF(L170/($L$156*$M$156)*100&lt;0.001,4,IF(L170/($L$156*$M$156)*100&lt;0.01,3,IF(L170/($L$156*$M$156)*100&lt;0.1,2,IF(L170/($L$156*$M$156)*100&lt;1,1,0)))))))</f>
        <v>0</v>
      </c>
      <c r="N170" s="59" t="str">
        <f aca="false">IF(L170&lt;$D$27,"忽略不计",M170)</f>
        <v>忽略不计</v>
      </c>
      <c r="IJ170" s="1"/>
      <c r="IK170" s="1"/>
      <c r="IL170" s="1"/>
    </row>
    <row r="171" customFormat="false" ht="17.15" hidden="false" customHeight="false" outlineLevel="0" collapsed="false">
      <c r="A171" s="58"/>
      <c r="B171" s="55" t="s">
        <v>77</v>
      </c>
      <c r="C171" s="57" t="n">
        <f aca="false">tranvalue(D171/$D$156,2)</f>
        <v>0</v>
      </c>
      <c r="D171" s="44"/>
      <c r="E171" s="34"/>
      <c r="F171" s="59" t="n">
        <f aca="false">IF(E171="n.a.","n.a.",tranvalue(E171/($E$156*$F$156)*100,IF(E171/($E$156*$F$156)*100&lt;0.0001,5,IF(E171/($E$156*$F$156)*100&lt;0.001,4,IF(E171/($E$156*$F$156)*100&lt;0.01,3,IF(E171/($E$156*$F$156)*100&lt;0.1,2,IF(E171/($E$156*$F$156)*100&lt;1,1,0)))))))</f>
        <v>0</v>
      </c>
      <c r="G171" s="59" t="str">
        <f aca="false">IF(E171&lt;$D$27,"忽略不计",F171)</f>
        <v>忽略不计</v>
      </c>
      <c r="H171" s="58"/>
      <c r="I171" s="55" t="s">
        <v>77</v>
      </c>
      <c r="J171" s="57" t="n">
        <f aca="false">tranvalue(K171/$K$156,2)</f>
        <v>0</v>
      </c>
      <c r="K171" s="44"/>
      <c r="L171" s="36"/>
      <c r="M171" s="59" t="n">
        <f aca="false">IF(L171="n.a.","n.a.",tranvalue(L171/($L$156*$M$156)*100,IF(L171/($L$156*$M$156)*100&lt;0.0001,5,IF(L171/($L$156*$M$156)*100&lt;0.001,4,IF(L171/($L$156*$M$156)*100&lt;0.01,3,IF(L171/($L$156*$M$156)*100&lt;0.1,2,IF(L171/($L$156*$M$156)*100&lt;1,1,0)))))))</f>
        <v>0</v>
      </c>
      <c r="N171" s="59" t="str">
        <f aca="false">IF(L171&lt;$D$27,"忽略不计",M171)</f>
        <v>忽略不计</v>
      </c>
      <c r="IJ171" s="1"/>
      <c r="IK171" s="1"/>
      <c r="IL171" s="1"/>
    </row>
    <row r="172" customFormat="false" ht="17.15" hidden="false" customHeight="false" outlineLevel="0" collapsed="false">
      <c r="A172" s="58"/>
      <c r="B172" s="55" t="s">
        <v>78</v>
      </c>
      <c r="C172" s="57" t="n">
        <f aca="false">tranvalue(D172/$D$156,2)</f>
        <v>0</v>
      </c>
      <c r="D172" s="44"/>
      <c r="E172" s="34"/>
      <c r="F172" s="59" t="n">
        <f aca="false">IF(E172="n.a.","n.a.",tranvalue(E172/($E$156*$F$156)*100,IF(E172/($E$156*$F$156)*100&lt;0.0001,5,IF(E172/($E$156*$F$156)*100&lt;0.001,4,IF(E172/($E$156*$F$156)*100&lt;0.01,3,IF(E172/($E$156*$F$156)*100&lt;0.1,2,IF(E172/($E$156*$F$156)*100&lt;1,1,0)))))))</f>
        <v>0</v>
      </c>
      <c r="G172" s="59" t="str">
        <f aca="false">IF(E172&lt;$D$27,"忽略不计",F172)</f>
        <v>忽略不计</v>
      </c>
      <c r="H172" s="58"/>
      <c r="I172" s="55" t="s">
        <v>78</v>
      </c>
      <c r="J172" s="57" t="n">
        <f aca="false">tranvalue(K172/$K$156,2)</f>
        <v>0</v>
      </c>
      <c r="K172" s="44"/>
      <c r="L172" s="36"/>
      <c r="M172" s="59" t="n">
        <f aca="false">IF(L172="n.a.","n.a.",tranvalue(L172/($L$156*$M$156)*100,IF(L172/($L$156*$M$156)*100&lt;0.0001,5,IF(L172/($L$156*$M$156)*100&lt;0.001,4,IF(L172/($L$156*$M$156)*100&lt;0.01,3,IF(L172/($L$156*$M$156)*100&lt;0.1,2,IF(L172/($L$156*$M$156)*100&lt;1,1,0)))))))</f>
        <v>0</v>
      </c>
      <c r="N172" s="59" t="str">
        <f aca="false">IF(L172&lt;$D$27,"忽略不计",M172)</f>
        <v>忽略不计</v>
      </c>
      <c r="IJ172" s="1"/>
      <c r="IK172" s="1"/>
      <c r="IL172" s="1"/>
    </row>
    <row r="173" customFormat="false" ht="17.15" hidden="false" customHeight="false" outlineLevel="0" collapsed="false">
      <c r="A173" s="58"/>
      <c r="B173" s="55" t="s">
        <v>79</v>
      </c>
      <c r="C173" s="57" t="n">
        <f aca="false">tranvalue(D173/$D$156,2)</f>
        <v>0</v>
      </c>
      <c r="D173" s="44"/>
      <c r="E173" s="34"/>
      <c r="F173" s="59" t="n">
        <f aca="false">IF(E173="n.a.","n.a.",tranvalue(E173/($E$156*$F$156)*100,IF(E173/($E$156*$F$156)*100&lt;0.0001,5,IF(E173/($E$156*$F$156)*100&lt;0.001,4,IF(E173/($E$156*$F$156)*100&lt;0.01,3,IF(E173/($E$156*$F$156)*100&lt;0.1,2,IF(E173/($E$156*$F$156)*100&lt;1,1,0)))))))</f>
        <v>0</v>
      </c>
      <c r="G173" s="59" t="str">
        <f aca="false">IF(E173&lt;$D$27,"忽略不计",F173)</f>
        <v>忽略不计</v>
      </c>
      <c r="H173" s="58"/>
      <c r="I173" s="55" t="s">
        <v>79</v>
      </c>
      <c r="J173" s="57" t="n">
        <f aca="false">tranvalue(K173/$K$156,2)</f>
        <v>0</v>
      </c>
      <c r="K173" s="44"/>
      <c r="L173" s="36"/>
      <c r="M173" s="59" t="n">
        <f aca="false">IF(L173="n.a.","n.a.",tranvalue(L173/($L$156*$M$156)*100,IF(L173/($L$156*$M$156)*100&lt;0.0001,5,IF(L173/($L$156*$M$156)*100&lt;0.001,4,IF(L173/($L$156*$M$156)*100&lt;0.01,3,IF(L173/($L$156*$M$156)*100&lt;0.1,2,IF(L173/($L$156*$M$156)*100&lt;1,1,0)))))))</f>
        <v>0</v>
      </c>
      <c r="N173" s="59" t="str">
        <f aca="false">IF(L173&lt;$D$27,"忽略不计",M173)</f>
        <v>忽略不计</v>
      </c>
      <c r="IJ173" s="1"/>
      <c r="IK173" s="1"/>
      <c r="IL173" s="1"/>
    </row>
    <row r="174" customFormat="false" ht="17.15" hidden="false" customHeight="false" outlineLevel="0" collapsed="false">
      <c r="A174" s="58"/>
      <c r="B174" s="55" t="s">
        <v>80</v>
      </c>
      <c r="C174" s="57" t="n">
        <f aca="false">tranvalue(D174/$D$156,2)</f>
        <v>0</v>
      </c>
      <c r="D174" s="44"/>
      <c r="E174" s="34"/>
      <c r="F174" s="59" t="n">
        <f aca="false">IF(E174="n.a.","n.a.",tranvalue(E174/($E$156*$F$156)*100,IF(E174/($E$156*$F$156)*100&lt;0.0001,5,IF(E174/($E$156*$F$156)*100&lt;0.001,4,IF(E174/($E$156*$F$156)*100&lt;0.01,3,IF(E174/($E$156*$F$156)*100&lt;0.1,2,IF(E174/($E$156*$F$156)*100&lt;1,1,0)))))))</f>
        <v>0</v>
      </c>
      <c r="G174" s="59" t="str">
        <f aca="false">IF(E174&lt;$D$27,"忽略不计",F174)</f>
        <v>忽略不计</v>
      </c>
      <c r="H174" s="58"/>
      <c r="I174" s="55" t="s">
        <v>80</v>
      </c>
      <c r="J174" s="57" t="n">
        <f aca="false">tranvalue(K174/$K$156,2)</f>
        <v>0</v>
      </c>
      <c r="K174" s="44"/>
      <c r="L174" s="36"/>
      <c r="M174" s="59" t="n">
        <f aca="false">IF(L174="n.a.","n.a.",tranvalue(L174/($L$156*$M$156)*100,IF(L174/($L$156*$M$156)*100&lt;0.0001,5,IF(L174/($L$156*$M$156)*100&lt;0.001,4,IF(L174/($L$156*$M$156)*100&lt;0.01,3,IF(L174/($L$156*$M$156)*100&lt;0.1,2,IF(L174/($L$156*$M$156)*100&lt;1,1,0)))))))</f>
        <v>0</v>
      </c>
      <c r="N174" s="59" t="str">
        <f aca="false">IF(L174&lt;$D$27,"忽略不计",M174)</f>
        <v>忽略不计</v>
      </c>
      <c r="IJ174" s="1"/>
      <c r="IK174" s="1"/>
      <c r="IL174" s="1"/>
    </row>
    <row r="175" customFormat="false" ht="17.15" hidden="false" customHeight="false" outlineLevel="0" collapsed="false">
      <c r="A175" s="58"/>
      <c r="B175" s="55" t="s">
        <v>81</v>
      </c>
      <c r="C175" s="57" t="n">
        <f aca="false">tranvalue(D175/$D$156,2)</f>
        <v>0</v>
      </c>
      <c r="D175" s="44"/>
      <c r="E175" s="34"/>
      <c r="F175" s="59" t="n">
        <f aca="false">IF(E175="n.a.","n.a.",tranvalue(E175/($E$156*$F$156)*100,IF(E175/($E$156*$F$156)*100&lt;0.0001,5,IF(E175/($E$156*$F$156)*100&lt;0.001,4,IF(E175/($E$156*$F$156)*100&lt;0.01,3,IF(E175/($E$156*$F$156)*100&lt;0.1,2,IF(E175/($E$156*$F$156)*100&lt;1,1,0)))))))</f>
        <v>0</v>
      </c>
      <c r="G175" s="59" t="str">
        <f aca="false">IF(E175&lt;$D$27,"忽略不计",F175)</f>
        <v>忽略不计</v>
      </c>
      <c r="H175" s="58"/>
      <c r="I175" s="55" t="s">
        <v>81</v>
      </c>
      <c r="J175" s="57" t="n">
        <f aca="false">tranvalue(K175/$K$156,2)</f>
        <v>0</v>
      </c>
      <c r="K175" s="44"/>
      <c r="L175" s="36"/>
      <c r="M175" s="59" t="n">
        <f aca="false">IF(L175="n.a.","n.a.",tranvalue(L175/($L$156*$M$156)*100,IF(L175/($L$156*$M$156)*100&lt;0.0001,5,IF(L175/($L$156*$M$156)*100&lt;0.001,4,IF(L175/($L$156*$M$156)*100&lt;0.01,3,IF(L175/($L$156*$M$156)*100&lt;0.1,2,IF(L175/($L$156*$M$156)*100&lt;1,1,0)))))))</f>
        <v>0</v>
      </c>
      <c r="N175" s="59" t="str">
        <f aca="false">IF(L175&lt;$D$27,"忽略不计",M175)</f>
        <v>忽略不计</v>
      </c>
      <c r="IJ175" s="1"/>
      <c r="IK175" s="1"/>
      <c r="IL175" s="1"/>
    </row>
    <row r="176" customFormat="false" ht="17.15" hidden="false" customHeight="false" outlineLevel="0" collapsed="false">
      <c r="A176" s="58"/>
      <c r="B176" s="55" t="s">
        <v>82</v>
      </c>
      <c r="C176" s="57" t="n">
        <f aca="false">tranvalue(D176/$D$156,2)</f>
        <v>0</v>
      </c>
      <c r="D176" s="44"/>
      <c r="E176" s="34"/>
      <c r="F176" s="59" t="n">
        <f aca="false">IF(E176="n.a.","n.a.",tranvalue(E176/($E$156*$F$156)*100,IF(E176/($E$156*$F$156)*100&lt;0.0001,5,IF(E176/($E$156*$F$156)*100&lt;0.001,4,IF(E176/($E$156*$F$156)*100&lt;0.01,3,IF(E176/($E$156*$F$156)*100&lt;0.1,2,IF(E176/($E$156*$F$156)*100&lt;1,1,0)))))))</f>
        <v>0</v>
      </c>
      <c r="G176" s="59" t="str">
        <f aca="false">IF(E176&lt;$D$27,"忽略不计",F176)</f>
        <v>忽略不计</v>
      </c>
      <c r="H176" s="58"/>
      <c r="I176" s="55" t="s">
        <v>82</v>
      </c>
      <c r="J176" s="57" t="n">
        <f aca="false">tranvalue(K176/$K$156,2)</f>
        <v>0</v>
      </c>
      <c r="K176" s="44"/>
      <c r="L176" s="36"/>
      <c r="M176" s="59" t="n">
        <f aca="false">IF(L176="n.a.","n.a.",tranvalue(L176/($L$156*$M$156)*100,IF(L176/($L$156*$M$156)*100&lt;0.0001,5,IF(L176/($L$156*$M$156)*100&lt;0.001,4,IF(L176/($L$156*$M$156)*100&lt;0.01,3,IF(L176/($L$156*$M$156)*100&lt;0.1,2,IF(L176/($L$156*$M$156)*100&lt;1,1,0)))))))</f>
        <v>0</v>
      </c>
      <c r="N176" s="59" t="str">
        <f aca="false">IF(L176&lt;$D$27,"忽略不计",M176)</f>
        <v>忽略不计</v>
      </c>
      <c r="IJ176" s="1"/>
      <c r="IK176" s="1"/>
      <c r="IL176" s="1"/>
    </row>
    <row r="177" customFormat="false" ht="17.15" hidden="false" customHeight="false" outlineLevel="0" collapsed="false">
      <c r="A177" s="58"/>
      <c r="B177" s="55" t="s">
        <v>83</v>
      </c>
      <c r="C177" s="57" t="n">
        <f aca="false">tranvalue(D177/$D$156,2)</f>
        <v>0</v>
      </c>
      <c r="D177" s="44"/>
      <c r="E177" s="34"/>
      <c r="F177" s="59" t="n">
        <f aca="false">IF(E177="n.a.","n.a.",tranvalue(E177/($E$156*$F$156)*100,IF(E177/($E$156*$F$156)*100&lt;0.0001,5,IF(E177/($E$156*$F$156)*100&lt;0.001,4,IF(E177/($E$156*$F$156)*100&lt;0.01,3,IF(E177/($E$156*$F$156)*100&lt;0.1,2,IF(E177/($E$156*$F$156)*100&lt;1,1,0)))))))</f>
        <v>0</v>
      </c>
      <c r="G177" s="59" t="str">
        <f aca="false">IF(E177&lt;$D$27,"忽略不计",F177)</f>
        <v>忽略不计</v>
      </c>
      <c r="H177" s="58"/>
      <c r="I177" s="55" t="s">
        <v>83</v>
      </c>
      <c r="J177" s="57" t="n">
        <f aca="false">tranvalue(K177/$K$156,2)</f>
        <v>0</v>
      </c>
      <c r="K177" s="60"/>
      <c r="L177" s="62"/>
      <c r="M177" s="59" t="n">
        <f aca="false">IF(L177="n.a.","n.a.",tranvalue(L177/($L$156*$M$156)*100,IF(L177/($L$156*$M$156)*100&lt;0.0001,5,IF(L177/($L$156*$M$156)*100&lt;0.001,4,IF(L177/($L$156*$M$156)*100&lt;0.01,3,IF(L177/($L$156*$M$156)*100&lt;0.1,2,IF(L177/($L$156*$M$156)*100&lt;1,1,0)))))))</f>
        <v>0</v>
      </c>
      <c r="N177" s="59" t="str">
        <f aca="false">IF(L177&lt;$D$27,"忽略不计",M177)</f>
        <v>忽略不计</v>
      </c>
      <c r="IJ177" s="1"/>
      <c r="IK177" s="1"/>
      <c r="IL177" s="1"/>
    </row>
    <row r="178" customFormat="false" ht="17.15" hidden="false" customHeight="false" outlineLevel="0" collapsed="false">
      <c r="A178" s="58"/>
      <c r="B178" s="55" t="s">
        <v>84</v>
      </c>
      <c r="C178" s="57" t="n">
        <f aca="false">tranvalue(D178/$D$156,2)</f>
        <v>0</v>
      </c>
      <c r="D178" s="60"/>
      <c r="E178" s="61"/>
      <c r="F178" s="59" t="n">
        <f aca="false">IF(E178="n.a.","n.a.",tranvalue(E178/($E$156*$F$156)*100,IF(E178/($E$156*$F$156)*100&lt;0.0001,5,IF(E178/($E$156*$F$156)*100&lt;0.001,4,IF(E178/($E$156*$F$156)*100&lt;0.01,3,IF(E178/($E$156*$F$156)*100&lt;0.1,2,IF(E178/($E$156*$F$156)*100&lt;1,1,0)))))))</f>
        <v>0</v>
      </c>
      <c r="G178" s="59" t="str">
        <f aca="false">IF(E178&lt;$D$27,"忽略不计",F178)</f>
        <v>忽略不计</v>
      </c>
      <c r="H178" s="58"/>
      <c r="I178" s="55" t="s">
        <v>84</v>
      </c>
      <c r="J178" s="57" t="n">
        <f aca="false">tranvalue(K178/$K$156,2)</f>
        <v>0</v>
      </c>
      <c r="K178" s="60"/>
      <c r="L178" s="62"/>
      <c r="M178" s="59" t="n">
        <f aca="false">IF(L178="n.a.","n.a.",tranvalue(L178/($L$156*$M$156)*100,IF(L178/($L$156*$M$156)*100&lt;0.0001,5,IF(L178/($L$156*$M$156)*100&lt;0.001,4,IF(L178/($L$156*$M$156)*100&lt;0.01,3,IF(L178/($L$156*$M$156)*100&lt;0.1,2,IF(L178/($L$156*$M$156)*100&lt;1,1,0)))))))</f>
        <v>0</v>
      </c>
      <c r="N178" s="59" t="str">
        <f aca="false">IF(L178&lt;$D$27,"忽略不计",M178)</f>
        <v>忽略不计</v>
      </c>
      <c r="IJ178" s="1"/>
      <c r="IK178" s="1"/>
      <c r="IL178" s="1"/>
    </row>
    <row r="179" customFormat="false" ht="29.1" hidden="false" customHeight="true" outlineLevel="0" collapsed="false">
      <c r="A179" s="55" t="s">
        <v>85</v>
      </c>
      <c r="B179" s="56" t="s">
        <v>86</v>
      </c>
      <c r="C179" s="56"/>
      <c r="D179" s="56"/>
      <c r="E179" s="56"/>
      <c r="F179" s="63" t="n">
        <f aca="false">MAX(F159:F178)</f>
        <v>0.06</v>
      </c>
      <c r="G179" s="59" t="n">
        <f aca="false">IF(MAX(E159:E178)&lt;$D$27,"忽略不计",F179)</f>
        <v>0.06</v>
      </c>
      <c r="H179" s="55" t="s">
        <v>85</v>
      </c>
      <c r="I179" s="56" t="s">
        <v>86</v>
      </c>
      <c r="J179" s="56"/>
      <c r="K179" s="56"/>
      <c r="L179" s="56"/>
      <c r="M179" s="63" t="n">
        <f aca="false">MAX(M159:M178)</f>
        <v>0.06</v>
      </c>
      <c r="N179" s="59" t="n">
        <f aca="false">IF(MAX(L159:L178)&lt;$D$27,"忽略不计",M179)</f>
        <v>0.06</v>
      </c>
      <c r="IJ179" s="1"/>
    </row>
    <row r="180" customFormat="false" ht="17.15" hidden="false" customHeight="true" outlineLevel="0" collapsed="false">
      <c r="A180" s="55"/>
      <c r="B180" s="56" t="s">
        <v>87</v>
      </c>
      <c r="C180" s="56"/>
      <c r="D180" s="56"/>
      <c r="E180" s="56"/>
      <c r="F180" s="63" t="n">
        <f aca="false">IF(SUM(F158:F178)=0,0,tranvalue(SUM(F158:F178),IF(SUM(F158:F178)&lt;0.0001,6,IF(SUM(F158:F178)&lt;0.001,5,IF(SUM(F158:F178)&lt;0.01,4,IF(SUM(F158:F178)&lt;0.1,3,IF(SUM(F158:F178)&lt;1,2,1)))))))</f>
        <v>0.3</v>
      </c>
      <c r="G180" s="63"/>
      <c r="H180" s="55"/>
      <c r="I180" s="56" t="s">
        <v>87</v>
      </c>
      <c r="J180" s="56"/>
      <c r="K180" s="56"/>
      <c r="L180" s="56"/>
      <c r="M180" s="63" t="n">
        <f aca="false">IF(SUM(M158:M178)=0,0,tranvalue(SUM(M158:M178),IF(SUM(M158:M178)&lt;0.0001,6,IF(SUM(M158:M178)&lt;0.001,5,IF(SUM(M158:M178)&lt;0.01,4,IF(SUM(M158:M178)&lt;0.1,3,IF(SUM(M158:M178)&lt;1,2,1)))))))</f>
        <v>0.32</v>
      </c>
      <c r="N180" s="63"/>
      <c r="IJ180" s="1"/>
    </row>
    <row r="181" customFormat="false" ht="17.15" hidden="false" customHeight="true" outlineLevel="0" collapsed="false">
      <c r="A181" s="55"/>
      <c r="B181" s="56" t="s">
        <v>88</v>
      </c>
      <c r="C181" s="56"/>
      <c r="D181" s="56"/>
      <c r="E181" s="56"/>
      <c r="F181" s="63" t="n">
        <f aca="false">IF(SUM(G158:G178)=0,"0",tranvalue(SUM(G158:G178),IF(SUM(G158:G178)&lt;0.0001,6,IF(SUM(G158:G178)&lt;0.001,5,IF(SUM(G158:G178)&lt;0.01,4,IF(SUM(G158:G178)&lt;0.1,3,IF(SUM(G158:G178)&lt;1,2,1)))))))</f>
        <v>0.06</v>
      </c>
      <c r="G181" s="63"/>
      <c r="H181" s="55"/>
      <c r="I181" s="56" t="s">
        <v>88</v>
      </c>
      <c r="J181" s="56"/>
      <c r="K181" s="56"/>
      <c r="L181" s="56"/>
      <c r="M181" s="63" t="n">
        <f aca="false">IF(SUM(N158:N178)=0,"0",tranvalue(SUM(N158:N178),IF(SUM(N158:N178)&lt;0.0001,6,IF(SUM(N158:N178)&lt;0.001,5,IF(SUM(N158:N178)&lt;0.01,4,IF(SUM(N158:N178)&lt;0.1,3,IF(SUM(N158:N178)&lt;1,2,1)))))))</f>
        <v>0.06</v>
      </c>
      <c r="N181" s="63"/>
      <c r="IJ181" s="1"/>
    </row>
    <row r="182" customFormat="false" ht="13.8" hidden="false" customHeight="false" outlineLevel="0" collapsed="false">
      <c r="IJ182" s="1"/>
    </row>
    <row r="183" customFormat="false" ht="14.25" hidden="false" customHeight="true" outlineLevel="0" collapsed="false">
      <c r="B183" s="1" t="s">
        <v>89</v>
      </c>
      <c r="F183" s="64"/>
      <c r="IJ183" s="1"/>
    </row>
    <row r="184" customFormat="false" ht="13.8" hidden="false" customHeight="false" outlineLevel="0" collapsed="false">
      <c r="IJ184" s="1"/>
    </row>
    <row r="185" customFormat="false" ht="13.8" hidden="false" customHeight="false" outlineLevel="0" collapsed="false">
      <c r="IJ185" s="1"/>
    </row>
    <row r="186" customFormat="false" ht="13.8" hidden="false" customHeight="false" outlineLevel="0" collapsed="false">
      <c r="IJ186" s="1"/>
    </row>
    <row r="187" customFormat="false" ht="13.8" hidden="false" customHeight="false" outlineLevel="0" collapsed="false">
      <c r="IJ187" s="1"/>
    </row>
    <row r="188" customFormat="false" ht="13.8" hidden="false" customHeight="false" outlineLevel="0" collapsed="false">
      <c r="B188" s="1" t="s">
        <v>90</v>
      </c>
      <c r="IJ188" s="1"/>
    </row>
    <row r="189" customFormat="false" ht="13.8" hidden="false" customHeight="false" outlineLevel="0" collapsed="false">
      <c r="IJ189" s="1"/>
    </row>
    <row r="190" customFormat="false" ht="13.8" hidden="false" customHeight="false" outlineLevel="0" collapsed="false">
      <c r="IJ190" s="1"/>
    </row>
    <row r="191" customFormat="false" ht="13.8" hidden="false" customHeight="false" outlineLevel="0" collapsed="false">
      <c r="IJ191" s="1"/>
    </row>
    <row r="192" customFormat="false" ht="17.15" hidden="false" customHeight="false" outlineLevel="0" collapsed="false">
      <c r="A192" s="1" t="s">
        <v>91</v>
      </c>
      <c r="D192" s="2"/>
      <c r="H192" s="1" t="s">
        <v>92</v>
      </c>
      <c r="IJ192" s="1"/>
    </row>
    <row r="195" customFormat="false" ht="16.65" hidden="false" customHeight="false" outlineLevel="0" collapsed="false">
      <c r="A195" s="42" t="s">
        <v>50</v>
      </c>
      <c r="B195" s="22" t="s">
        <v>99</v>
      </c>
      <c r="C195" s="22"/>
      <c r="D195" s="22"/>
      <c r="E195" s="22"/>
      <c r="F195" s="22"/>
      <c r="G195" s="22"/>
      <c r="H195" s="42" t="s">
        <v>50</v>
      </c>
      <c r="I195" s="22"/>
      <c r="J195" s="22"/>
      <c r="K195" s="22"/>
      <c r="L195" s="22"/>
      <c r="M195" s="22"/>
      <c r="N195" s="22"/>
      <c r="IJ195" s="1"/>
    </row>
    <row r="196" customFormat="false" ht="43.5" hidden="false" customHeight="true" outlineLevel="0" collapsed="false">
      <c r="A196" s="52" t="s">
        <v>23</v>
      </c>
      <c r="B196" s="53" t="s">
        <v>53</v>
      </c>
      <c r="C196" s="53" t="s">
        <v>54</v>
      </c>
      <c r="D196" s="43" t="s">
        <v>55</v>
      </c>
      <c r="E196" s="54" t="s">
        <v>48</v>
      </c>
      <c r="F196" s="52" t="s">
        <v>56</v>
      </c>
      <c r="G196" s="52"/>
      <c r="H196" s="52" t="s">
        <v>23</v>
      </c>
      <c r="I196" s="52" t="s">
        <v>53</v>
      </c>
      <c r="J196" s="52" t="s">
        <v>54</v>
      </c>
      <c r="K196" s="43" t="s">
        <v>55</v>
      </c>
      <c r="L196" s="43" t="s">
        <v>48</v>
      </c>
      <c r="M196" s="52" t="s">
        <v>56</v>
      </c>
      <c r="N196" s="52"/>
      <c r="IJ196" s="1"/>
      <c r="IK196" s="1"/>
      <c r="IL196" s="1"/>
    </row>
    <row r="197" customFormat="false" ht="17.15" hidden="false" customHeight="false" outlineLevel="0" collapsed="false">
      <c r="A197" s="55" t="s">
        <v>57</v>
      </c>
      <c r="B197" s="56" t="s">
        <v>58</v>
      </c>
      <c r="C197" s="57" t="n">
        <f aca="false">D197/$D$197</f>
        <v>1</v>
      </c>
      <c r="D197" s="44" t="n">
        <v>14.818</v>
      </c>
      <c r="E197" s="34" t="n">
        <v>0.1456</v>
      </c>
      <c r="F197" s="38" t="n">
        <f aca="false">100/0.1</f>
        <v>1000</v>
      </c>
      <c r="G197" s="38"/>
      <c r="H197" s="55" t="s">
        <v>57</v>
      </c>
      <c r="I197" s="56" t="s">
        <v>58</v>
      </c>
      <c r="J197" s="57" t="e">
        <f aca="false">K197/$K$197</f>
        <v>#DIV/0!</v>
      </c>
      <c r="K197" s="44"/>
      <c r="L197" s="34"/>
      <c r="M197" s="38" t="n">
        <f aca="false">100/0.1</f>
        <v>1000</v>
      </c>
      <c r="N197" s="38"/>
      <c r="IJ197" s="1"/>
      <c r="IK197" s="1"/>
      <c r="IL197" s="1"/>
    </row>
    <row r="198" customFormat="false" ht="32.8" hidden="false" customHeight="false" outlineLevel="0" collapsed="false">
      <c r="A198" s="52" t="s">
        <v>23</v>
      </c>
      <c r="B198" s="52" t="s">
        <v>59</v>
      </c>
      <c r="C198" s="53" t="s">
        <v>54</v>
      </c>
      <c r="D198" s="43" t="s">
        <v>55</v>
      </c>
      <c r="E198" s="43" t="s">
        <v>48</v>
      </c>
      <c r="F198" s="52" t="s">
        <v>60</v>
      </c>
      <c r="G198" s="52" t="s">
        <v>61</v>
      </c>
      <c r="H198" s="52" t="s">
        <v>23</v>
      </c>
      <c r="I198" s="52" t="s">
        <v>59</v>
      </c>
      <c r="J198" s="53" t="s">
        <v>54</v>
      </c>
      <c r="K198" s="43" t="s">
        <v>55</v>
      </c>
      <c r="L198" s="43" t="s">
        <v>48</v>
      </c>
      <c r="M198" s="52" t="s">
        <v>60</v>
      </c>
      <c r="N198" s="52" t="s">
        <v>61</v>
      </c>
      <c r="IJ198" s="1"/>
      <c r="IK198" s="1"/>
      <c r="IL198" s="1"/>
    </row>
    <row r="199" customFormat="false" ht="17.15" hidden="false" customHeight="false" outlineLevel="0" collapsed="false">
      <c r="A199" s="58" t="s">
        <v>62</v>
      </c>
      <c r="B199" s="55" t="s">
        <v>63</v>
      </c>
      <c r="C199" s="57" t="n">
        <f aca="false">tranvalue(D199/$D$197,2)</f>
        <v>1.08</v>
      </c>
      <c r="D199" s="44" t="n">
        <v>16.032</v>
      </c>
      <c r="E199" s="36" t="n">
        <v>0.2467</v>
      </c>
      <c r="F199" s="59" t="n">
        <f aca="false">IF(E199="n.a.","n.a.",tranvalue(E199/($E$197*$F$197)*100,IF(E199/($E$197*$F$197)*100&lt;0.0001,5,IF(E199/($E$197*$F$197)*100&lt;0.001,4,IF(E199/($E$197*$F$197)*100&lt;0.01,3,IF(E199/($E$197*$F$197)*100&lt;0.1,2,IF(E199/($E$197*$F$197)*100&lt;1,1,0)))))))</f>
        <v>0.2</v>
      </c>
      <c r="G199" s="59" t="n">
        <f aca="false">IF(E199&lt;$D$27,"忽略不计",F199)</f>
        <v>0.2</v>
      </c>
      <c r="H199" s="58" t="s">
        <v>62</v>
      </c>
      <c r="I199" s="55" t="s">
        <v>63</v>
      </c>
      <c r="J199" s="57" t="e">
        <f aca="false">tranvalue(K199/$K$197,2)</f>
        <v>#DIV/0!</v>
      </c>
      <c r="K199" s="44"/>
      <c r="L199" s="34"/>
      <c r="M199" s="59" t="e">
        <f aca="false">IF(L199="n.a.","n.a.",tranvalue(L199/($L$197*$M$197)*100,IF(L199/($L$197*$M$197)*100&lt;0.0001,5,IF(L199/($L$197*$M$197)*100&lt;0.001,4,IF(L199/($L$197*$M$197)*100&lt;0.01,3,IF(L199/($L$197*$M$197)*100&lt;0.1,2,IF(L199/($L$197*$M$197)*100&lt;1,1,0)))))))</f>
        <v>#DIV/0!</v>
      </c>
      <c r="N199" s="59" t="str">
        <f aca="false">IF(L199&lt;$D$27,"忽略不计",M199)</f>
        <v>忽略不计</v>
      </c>
      <c r="IJ199" s="1"/>
      <c r="IK199" s="1"/>
      <c r="IL199" s="1"/>
    </row>
    <row r="200" customFormat="false" ht="17.15" hidden="false" customHeight="true" outlineLevel="0" collapsed="false">
      <c r="A200" s="58" t="s">
        <v>64</v>
      </c>
      <c r="B200" s="55" t="s">
        <v>65</v>
      </c>
      <c r="C200" s="57" t="n">
        <f aca="false">tranvalue(D200/$D$197,2)</f>
        <v>0.23</v>
      </c>
      <c r="D200" s="44" t="n">
        <v>3.353</v>
      </c>
      <c r="E200" s="36" t="n">
        <v>0.0145</v>
      </c>
      <c r="F200" s="59" t="n">
        <f aca="false">IF(E200="n.a.","n.a.",tranvalue(E200/($E$197*$F$197)*100,IF(E200/($E$197*$F$197)*100&lt;0.0001,5,IF(E200/($E$197*$F$197)*100&lt;0.001,4,IF(E200/($E$197*$F$197)*100&lt;0.01,3,IF(E200/($E$197*$F$197)*100&lt;0.1,2,IF(E200/($E$197*$F$197)*100&lt;1,1,0)))))))</f>
        <v>0.01</v>
      </c>
      <c r="G200" s="59" t="str">
        <f aca="false">IF(E200&lt;$D$27,"忽略不计",F200)</f>
        <v>忽略不计</v>
      </c>
      <c r="H200" s="58" t="s">
        <v>64</v>
      </c>
      <c r="I200" s="55" t="s">
        <v>65</v>
      </c>
      <c r="J200" s="57" t="e">
        <f aca="false">tranvalue(K200/$K$197,2)</f>
        <v>#DIV/0!</v>
      </c>
      <c r="K200" s="44"/>
      <c r="L200" s="34"/>
      <c r="M200" s="59" t="e">
        <f aca="false">IF(L200="n.a.","n.a.",tranvalue(L200/($L$197*$M$197)*100,IF(L200/($L$197*$M$197)*100&lt;0.0001,5,IF(L200/($L$197*$M$197)*100&lt;0.001,4,IF(L200/($L$197*$M$197)*100&lt;0.01,3,IF(L200/($L$197*$M$197)*100&lt;0.1,2,IF(L200/($L$197*$M$197)*100&lt;1,1,0)))))))</f>
        <v>#DIV/0!</v>
      </c>
      <c r="N200" s="59" t="str">
        <f aca="false">IF(L200&lt;$D$27,"忽略不计",M200)</f>
        <v>忽略不计</v>
      </c>
      <c r="IJ200" s="1"/>
      <c r="IK200" s="1"/>
      <c r="IL200" s="1"/>
    </row>
    <row r="201" customFormat="false" ht="17.15" hidden="false" customHeight="false" outlineLevel="0" collapsed="false">
      <c r="A201" s="58"/>
      <c r="B201" s="55" t="s">
        <v>66</v>
      </c>
      <c r="C201" s="57" t="n">
        <f aca="false">tranvalue(D201/$D$197,2)</f>
        <v>0.29</v>
      </c>
      <c r="D201" s="44" t="n">
        <v>4.315</v>
      </c>
      <c r="E201" s="36" t="n">
        <v>0.0744</v>
      </c>
      <c r="F201" s="59" t="n">
        <f aca="false">IF(E201="n.a.","n.a.",tranvalue(E201/($E$197*$F$197)*100,IF(E201/($E$197*$F$197)*100&lt;0.0001,5,IF(E201/($E$197*$F$197)*100&lt;0.001,4,IF(E201/($E$197*$F$197)*100&lt;0.01,3,IF(E201/($E$197*$F$197)*100&lt;0.1,2,IF(E201/($E$197*$F$197)*100&lt;1,1,0)))))))</f>
        <v>0.05</v>
      </c>
      <c r="G201" s="59" t="str">
        <f aca="false">IF(E201&lt;$D$27,"忽略不计",F201)</f>
        <v>忽略不计</v>
      </c>
      <c r="H201" s="58"/>
      <c r="I201" s="55" t="s">
        <v>66</v>
      </c>
      <c r="J201" s="57" t="e">
        <f aca="false">tranvalue(K201/$K$197,2)</f>
        <v>#DIV/0!</v>
      </c>
      <c r="K201" s="44"/>
      <c r="L201" s="34"/>
      <c r="M201" s="59" t="e">
        <f aca="false">IF(L201="n.a.","n.a.",tranvalue(L201/($L$197*$M$197)*100,IF(L201/($L$197*$M$197)*100&lt;0.0001,5,IF(L201/($L$197*$M$197)*100&lt;0.001,4,IF(L201/($L$197*$M$197)*100&lt;0.01,3,IF(L201/($L$197*$M$197)*100&lt;0.1,2,IF(L201/($L$197*$M$197)*100&lt;1,1,0)))))))</f>
        <v>#DIV/0!</v>
      </c>
      <c r="N201" s="59" t="str">
        <f aca="false">IF(L201&lt;$D$27,"忽略不计",M201)</f>
        <v>忽略不计</v>
      </c>
      <c r="IJ201" s="1"/>
      <c r="IK201" s="1"/>
      <c r="IL201" s="1"/>
    </row>
    <row r="202" customFormat="false" ht="17.15" hidden="false" customHeight="false" outlineLevel="0" collapsed="false">
      <c r="A202" s="58"/>
      <c r="B202" s="55" t="s">
        <v>67</v>
      </c>
      <c r="C202" s="57" t="n">
        <f aca="false">tranvalue(D202/$D$197,2)</f>
        <v>0.34</v>
      </c>
      <c r="D202" s="44" t="n">
        <v>5.097</v>
      </c>
      <c r="E202" s="36" t="n">
        <v>0.0297</v>
      </c>
      <c r="F202" s="59" t="n">
        <f aca="false">IF(E202="n.a.","n.a.",tranvalue(E202/($E$197*$F$197)*100,IF(E202/($E$197*$F$197)*100&lt;0.0001,5,IF(E202/($E$197*$F$197)*100&lt;0.001,4,IF(E202/($E$197*$F$197)*100&lt;0.01,3,IF(E202/($E$197*$F$197)*100&lt;0.1,2,IF(E202/($E$197*$F$197)*100&lt;1,1,0)))))))</f>
        <v>0.02</v>
      </c>
      <c r="G202" s="59" t="str">
        <f aca="false">IF(E202&lt;$D$27,"忽略不计",F202)</f>
        <v>忽略不计</v>
      </c>
      <c r="H202" s="58"/>
      <c r="I202" s="55" t="s">
        <v>67</v>
      </c>
      <c r="J202" s="57" t="e">
        <f aca="false">tranvalue(K202/$K$197,2)</f>
        <v>#DIV/0!</v>
      </c>
      <c r="K202" s="44"/>
      <c r="L202" s="34"/>
      <c r="M202" s="59" t="e">
        <f aca="false">IF(L202="n.a.","n.a.",tranvalue(L202/($L$197*$M$197)*100,IF(L202/($L$197*$M$197)*100&lt;0.0001,5,IF(L202/($L$197*$M$197)*100&lt;0.001,4,IF(L202/($L$197*$M$197)*100&lt;0.01,3,IF(L202/($L$197*$M$197)*100&lt;0.1,2,IF(L202/($L$197*$M$197)*100&lt;1,1,0)))))))</f>
        <v>#DIV/0!</v>
      </c>
      <c r="N202" s="59" t="str">
        <f aca="false">IF(L202&lt;$D$27,"忽略不计",M202)</f>
        <v>忽略不计</v>
      </c>
      <c r="IJ202" s="1"/>
      <c r="IK202" s="1"/>
      <c r="IL202" s="1"/>
    </row>
    <row r="203" customFormat="false" ht="17.15" hidden="false" customHeight="false" outlineLevel="0" collapsed="false">
      <c r="A203" s="58"/>
      <c r="B203" s="55" t="s">
        <v>68</v>
      </c>
      <c r="C203" s="57" t="n">
        <f aca="false">tranvalue(D203/$D$197,2)</f>
        <v>0.41</v>
      </c>
      <c r="D203" s="44" t="n">
        <v>6.142</v>
      </c>
      <c r="E203" s="36" t="n">
        <v>0.0115</v>
      </c>
      <c r="F203" s="59" t="n">
        <f aca="false">IF(E203="n.a.","n.a.",tranvalue(E203/($E$197*$F$197)*100,IF(E203/($E$197*$F$197)*100&lt;0.0001,5,IF(E203/($E$197*$F$197)*100&lt;0.001,4,IF(E203/($E$197*$F$197)*100&lt;0.01,3,IF(E203/($E$197*$F$197)*100&lt;0.1,2,IF(E203/($E$197*$F$197)*100&lt;1,1,0)))))))</f>
        <v>0.008</v>
      </c>
      <c r="G203" s="59" t="str">
        <f aca="false">IF(E203&lt;$D$27,"忽略不计",F203)</f>
        <v>忽略不计</v>
      </c>
      <c r="H203" s="58"/>
      <c r="I203" s="55" t="s">
        <v>68</v>
      </c>
      <c r="J203" s="57" t="e">
        <f aca="false">tranvalue(K203/$K$197,2)</f>
        <v>#DIV/0!</v>
      </c>
      <c r="K203" s="44"/>
      <c r="L203" s="34"/>
      <c r="M203" s="59" t="e">
        <f aca="false">IF(L203="n.a.","n.a.",tranvalue(L203/($L$197*$M$197)*100,IF(L203/($L$197*$M$197)*100&lt;0.0001,5,IF(L203/($L$197*$M$197)*100&lt;0.001,4,IF(L203/($L$197*$M$197)*100&lt;0.01,3,IF(L203/($L$197*$M$197)*100&lt;0.1,2,IF(L203/($L$197*$M$197)*100&lt;1,1,0)))))))</f>
        <v>#DIV/0!</v>
      </c>
      <c r="N203" s="59" t="str">
        <f aca="false">IF(L203&lt;$D$27,"忽略不计",M203)</f>
        <v>忽略不计</v>
      </c>
      <c r="IJ203" s="1"/>
      <c r="IK203" s="1"/>
      <c r="IL203" s="1"/>
    </row>
    <row r="204" customFormat="false" ht="17.15" hidden="false" customHeight="false" outlineLevel="0" collapsed="false">
      <c r="A204" s="58"/>
      <c r="B204" s="55" t="s">
        <v>69</v>
      </c>
      <c r="C204" s="57" t="n">
        <f aca="false">tranvalue(D204/$D$197,2)</f>
        <v>0.44</v>
      </c>
      <c r="D204" s="44" t="n">
        <v>6.537</v>
      </c>
      <c r="E204" s="36" t="n">
        <v>0.0334</v>
      </c>
      <c r="F204" s="59" t="n">
        <f aca="false">IF(E204="n.a.","n.a.",tranvalue(E204/($E$197*$F$197)*100,IF(E204/($E$197*$F$197)*100&lt;0.0001,5,IF(E204/($E$197*$F$197)*100&lt;0.001,4,IF(E204/($E$197*$F$197)*100&lt;0.01,3,IF(E204/($E$197*$F$197)*100&lt;0.1,2,IF(E204/($E$197*$F$197)*100&lt;1,1,0)))))))</f>
        <v>0.02</v>
      </c>
      <c r="G204" s="59" t="str">
        <f aca="false">IF(E204&lt;$D$27,"忽略不计",F204)</f>
        <v>忽略不计</v>
      </c>
      <c r="H204" s="58"/>
      <c r="I204" s="55" t="s">
        <v>69</v>
      </c>
      <c r="J204" s="57" t="e">
        <f aca="false">tranvalue(K204/$K$197,2)</f>
        <v>#DIV/0!</v>
      </c>
      <c r="K204" s="44"/>
      <c r="L204" s="34"/>
      <c r="M204" s="59" t="e">
        <f aca="false">IF(L204="n.a.","n.a.",tranvalue(L204/($L$197*$M$197)*100,IF(L204/($L$197*$M$197)*100&lt;0.0001,5,IF(L204/($L$197*$M$197)*100&lt;0.001,4,IF(L204/($L$197*$M$197)*100&lt;0.01,3,IF(L204/($L$197*$M$197)*100&lt;0.1,2,IF(L204/($L$197*$M$197)*100&lt;1,1,0)))))))</f>
        <v>#DIV/0!</v>
      </c>
      <c r="N204" s="59" t="str">
        <f aca="false">IF(L204&lt;$D$27,"忽略不计",M204)</f>
        <v>忽略不计</v>
      </c>
      <c r="IJ204" s="1"/>
      <c r="IK204" s="1"/>
      <c r="IL204" s="1"/>
    </row>
    <row r="205" customFormat="false" ht="17.15" hidden="false" customHeight="false" outlineLevel="0" collapsed="false">
      <c r="A205" s="58"/>
      <c r="B205" s="55" t="s">
        <v>70</v>
      </c>
      <c r="C205" s="57" t="n">
        <f aca="false">tranvalue(D205/$D$197,2)</f>
        <v>0.65</v>
      </c>
      <c r="D205" s="44" t="n">
        <v>9.612</v>
      </c>
      <c r="E205" s="36" t="n">
        <v>0.0809</v>
      </c>
      <c r="F205" s="59" t="n">
        <f aca="false">IF(E205="n.a.","n.a.",tranvalue(E205/($E$197*$F$197)*100,IF(E205/($E$197*$F$197)*100&lt;0.0001,5,IF(E205/($E$197*$F$197)*100&lt;0.001,4,IF(E205/($E$197*$F$197)*100&lt;0.01,3,IF(E205/($E$197*$F$197)*100&lt;0.1,2,IF(E205/($E$197*$F$197)*100&lt;1,1,0)))))))</f>
        <v>0.06</v>
      </c>
      <c r="G205" s="59" t="str">
        <f aca="false">IF(E205&lt;$D$27,"忽略不计",F205)</f>
        <v>忽略不计</v>
      </c>
      <c r="H205" s="58"/>
      <c r="I205" s="55" t="s">
        <v>70</v>
      </c>
      <c r="J205" s="57" t="e">
        <f aca="false">tranvalue(K205/$K$197,2)</f>
        <v>#DIV/0!</v>
      </c>
      <c r="K205" s="44"/>
      <c r="L205" s="34"/>
      <c r="M205" s="59" t="e">
        <f aca="false">IF(L205="n.a.","n.a.",tranvalue(L205/($L$197*$M$197)*100,IF(L205/($L$197*$M$197)*100&lt;0.0001,5,IF(L205/($L$197*$M$197)*100&lt;0.001,4,IF(L205/($L$197*$M$197)*100&lt;0.01,3,IF(L205/($L$197*$M$197)*100&lt;0.1,2,IF(L205/($L$197*$M$197)*100&lt;1,1,0)))))))</f>
        <v>#DIV/0!</v>
      </c>
      <c r="N205" s="59" t="str">
        <f aca="false">IF(L205&lt;$D$27,"忽略不计",M205)</f>
        <v>忽略不计</v>
      </c>
      <c r="IJ205" s="1"/>
      <c r="IK205" s="1"/>
      <c r="IL205" s="1"/>
    </row>
    <row r="206" customFormat="false" ht="17.15" hidden="false" customHeight="false" outlineLevel="0" collapsed="false">
      <c r="A206" s="58"/>
      <c r="B206" s="55" t="s">
        <v>71</v>
      </c>
      <c r="C206" s="57" t="n">
        <f aca="false">tranvalue(D206/$D$197,2)</f>
        <v>0.84</v>
      </c>
      <c r="D206" s="44" t="n">
        <v>12.51</v>
      </c>
      <c r="E206" s="36" t="n">
        <v>0.0249</v>
      </c>
      <c r="F206" s="59" t="n">
        <f aca="false">IF(E206="n.a.","n.a.",tranvalue(E206/($E$197*$F$197)*100,IF(E206/($E$197*$F$197)*100&lt;0.0001,5,IF(E206/($E$197*$F$197)*100&lt;0.001,4,IF(E206/($E$197*$F$197)*100&lt;0.01,3,IF(E206/($E$197*$F$197)*100&lt;0.1,2,IF(E206/($E$197*$F$197)*100&lt;1,1,0)))))))</f>
        <v>0.02</v>
      </c>
      <c r="G206" s="59" t="str">
        <f aca="false">IF(E206&lt;$D$27,"忽略不计",F206)</f>
        <v>忽略不计</v>
      </c>
      <c r="H206" s="58"/>
      <c r="I206" s="55" t="s">
        <v>71</v>
      </c>
      <c r="J206" s="57" t="e">
        <f aca="false">tranvalue(K206/$K$197,2)</f>
        <v>#DIV/0!</v>
      </c>
      <c r="K206" s="44"/>
      <c r="L206" s="34"/>
      <c r="M206" s="59" t="e">
        <f aca="false">IF(L206="n.a.","n.a.",tranvalue(L206/($L$197*$M$197)*100,IF(L206/($L$197*$M$197)*100&lt;0.0001,5,IF(L206/($L$197*$M$197)*100&lt;0.001,4,IF(L206/($L$197*$M$197)*100&lt;0.01,3,IF(L206/($L$197*$M$197)*100&lt;0.1,2,IF(L206/($L$197*$M$197)*100&lt;1,1,0)))))))</f>
        <v>#DIV/0!</v>
      </c>
      <c r="N206" s="59" t="str">
        <f aca="false">IF(L206&lt;$D$27,"忽略不计",M206)</f>
        <v>忽略不计</v>
      </c>
      <c r="IJ206" s="1"/>
      <c r="IK206" s="1"/>
      <c r="IL206" s="1"/>
    </row>
    <row r="207" customFormat="false" ht="17.15" hidden="false" customHeight="false" outlineLevel="0" collapsed="false">
      <c r="A207" s="58"/>
      <c r="B207" s="55" t="s">
        <v>72</v>
      </c>
      <c r="C207" s="57" t="n">
        <f aca="false">tranvalue(D207/$D$197,2)</f>
        <v>1.65</v>
      </c>
      <c r="D207" s="44" t="n">
        <v>24.425</v>
      </c>
      <c r="E207" s="36" t="n">
        <v>0.0158</v>
      </c>
      <c r="F207" s="59" t="n">
        <f aca="false">IF(E207="n.a.","n.a.",tranvalue(E207/($E$197*$F$197)*100,IF(E207/($E$197*$F$197)*100&lt;0.0001,5,IF(E207/($E$197*$F$197)*100&lt;0.001,4,IF(E207/($E$197*$F$197)*100&lt;0.01,3,IF(E207/($E$197*$F$197)*100&lt;0.1,2,IF(E207/($E$197*$F$197)*100&lt;1,1,0)))))))</f>
        <v>0.01</v>
      </c>
      <c r="G207" s="59" t="str">
        <f aca="false">IF(E207&lt;$D$27,"忽略不计",F207)</f>
        <v>忽略不计</v>
      </c>
      <c r="H207" s="58"/>
      <c r="I207" s="55" t="s">
        <v>72</v>
      </c>
      <c r="J207" s="57" t="e">
        <f aca="false">tranvalue(K207/$K$197,2)</f>
        <v>#DIV/0!</v>
      </c>
      <c r="K207" s="44"/>
      <c r="L207" s="34"/>
      <c r="M207" s="59" t="e">
        <f aca="false">IF(L207="n.a.","n.a.",tranvalue(L207/($L$197*$M$197)*100,IF(L207/($L$197*$M$197)*100&lt;0.0001,5,IF(L207/($L$197*$M$197)*100&lt;0.001,4,IF(L207/($L$197*$M$197)*100&lt;0.01,3,IF(L207/($L$197*$M$197)*100&lt;0.1,2,IF(L207/($L$197*$M$197)*100&lt;1,1,0)))))))</f>
        <v>#DIV/0!</v>
      </c>
      <c r="N207" s="59" t="str">
        <f aca="false">IF(L207&lt;$D$27,"忽略不计",M207)</f>
        <v>忽略不计</v>
      </c>
      <c r="IJ207" s="1"/>
      <c r="IK207" s="1"/>
      <c r="IL207" s="1"/>
    </row>
    <row r="208" customFormat="false" ht="17.15" hidden="false" customHeight="false" outlineLevel="0" collapsed="false">
      <c r="A208" s="58"/>
      <c r="B208" s="55" t="s">
        <v>73</v>
      </c>
      <c r="C208" s="57" t="n">
        <f aca="false">tranvalue(D208/$D$197,2)</f>
        <v>1.81</v>
      </c>
      <c r="D208" s="44" t="n">
        <v>26.765</v>
      </c>
      <c r="E208" s="36" t="n">
        <v>0.0504</v>
      </c>
      <c r="F208" s="59" t="n">
        <f aca="false">IF(E208="n.a.","n.a.",tranvalue(E208/($E$197*$F$197)*100,IF(E208/($E$197*$F$197)*100&lt;0.0001,5,IF(E208/($E$197*$F$197)*100&lt;0.001,4,IF(E208/($E$197*$F$197)*100&lt;0.01,3,IF(E208/($E$197*$F$197)*100&lt;0.1,2,IF(E208/($E$197*$F$197)*100&lt;1,1,0)))))))</f>
        <v>0.03</v>
      </c>
      <c r="G208" s="59" t="str">
        <f aca="false">IF(E208&lt;$D$27,"忽略不计",F208)</f>
        <v>忽略不计</v>
      </c>
      <c r="H208" s="58"/>
      <c r="I208" s="55" t="s">
        <v>73</v>
      </c>
      <c r="J208" s="57" t="e">
        <f aca="false">tranvalue(K208/$K$197,2)</f>
        <v>#DIV/0!</v>
      </c>
      <c r="K208" s="44"/>
      <c r="L208" s="36"/>
      <c r="M208" s="59" t="e">
        <f aca="false">IF(L208="n.a.","n.a.",tranvalue(L208/($L$197*$M$197)*100,IF(L208/($L$197*$M$197)*100&lt;0.0001,5,IF(L208/($L$197*$M$197)*100&lt;0.001,4,IF(L208/($L$197*$M$197)*100&lt;0.01,3,IF(L208/($L$197*$M$197)*100&lt;0.1,2,IF(L208/($L$197*$M$197)*100&lt;1,1,0)))))))</f>
        <v>#DIV/0!</v>
      </c>
      <c r="N208" s="59" t="str">
        <f aca="false">IF(L208&lt;$D$27,"忽略不计",M208)</f>
        <v>忽略不计</v>
      </c>
      <c r="IJ208" s="1"/>
      <c r="IK208" s="1"/>
      <c r="IL208" s="1"/>
    </row>
    <row r="209" customFormat="false" ht="17.15" hidden="false" customHeight="false" outlineLevel="0" collapsed="false">
      <c r="A209" s="58"/>
      <c r="B209" s="55" t="s">
        <v>74</v>
      </c>
      <c r="C209" s="57" t="n">
        <f aca="false">tranvalue(D209/$D$197,2)</f>
        <v>1.83</v>
      </c>
      <c r="D209" s="44" t="n">
        <v>27.155</v>
      </c>
      <c r="E209" s="36" t="n">
        <v>0.0524</v>
      </c>
      <c r="F209" s="59" t="n">
        <f aca="false">IF(E209="n.a.","n.a.",tranvalue(E209/($E$197*$F$197)*100,IF(E209/($E$197*$F$197)*100&lt;0.0001,5,IF(E209/($E$197*$F$197)*100&lt;0.001,4,IF(E209/($E$197*$F$197)*100&lt;0.01,3,IF(E209/($E$197*$F$197)*100&lt;0.1,2,IF(E209/($E$197*$F$197)*100&lt;1,1,0)))))))</f>
        <v>0.04</v>
      </c>
      <c r="G209" s="59" t="str">
        <f aca="false">IF(E209&lt;$D$27,"忽略不计",F209)</f>
        <v>忽略不计</v>
      </c>
      <c r="H209" s="58"/>
      <c r="I209" s="55" t="s">
        <v>74</v>
      </c>
      <c r="J209" s="57" t="e">
        <f aca="false">tranvalue(K209/$K$197,2)</f>
        <v>#DIV/0!</v>
      </c>
      <c r="K209" s="44"/>
      <c r="L209" s="36"/>
      <c r="M209" s="59" t="e">
        <f aca="false">IF(L209="n.a.","n.a.",tranvalue(L209/($L$197*$M$197)*100,IF(L209/($L$197*$M$197)*100&lt;0.0001,5,IF(L209/($L$197*$M$197)*100&lt;0.001,4,IF(L209/($L$197*$M$197)*100&lt;0.01,3,IF(L209/($L$197*$M$197)*100&lt;0.1,2,IF(L209/($L$197*$M$197)*100&lt;1,1,0)))))))</f>
        <v>#DIV/0!</v>
      </c>
      <c r="N209" s="59" t="str">
        <f aca="false">IF(L209&lt;$D$27,"忽略不计",M209)</f>
        <v>忽略不计</v>
      </c>
      <c r="IJ209" s="1"/>
      <c r="IK209" s="1"/>
      <c r="IL209" s="1"/>
    </row>
    <row r="210" customFormat="false" ht="17.15" hidden="false" customHeight="false" outlineLevel="0" collapsed="false">
      <c r="A210" s="58"/>
      <c r="B210" s="55" t="s">
        <v>75</v>
      </c>
      <c r="C210" s="57" t="n">
        <f aca="false">tranvalue(D210/$D$197,2)</f>
        <v>1.87</v>
      </c>
      <c r="D210" s="44" t="n">
        <v>27.715</v>
      </c>
      <c r="E210" s="36" t="n">
        <v>0.0552</v>
      </c>
      <c r="F210" s="59" t="n">
        <f aca="false">IF(E210="n.a.","n.a.",tranvalue(E210/($E$197*$F$197)*100,IF(E210/($E$197*$F$197)*100&lt;0.0001,5,IF(E210/($E$197*$F$197)*100&lt;0.001,4,IF(E210/($E$197*$F$197)*100&lt;0.01,3,IF(E210/($E$197*$F$197)*100&lt;0.1,2,IF(E210/($E$197*$F$197)*100&lt;1,1,0)))))))</f>
        <v>0.04</v>
      </c>
      <c r="G210" s="59" t="str">
        <f aca="false">IF(E210&lt;$D$27,"忽略不计",F210)</f>
        <v>忽略不计</v>
      </c>
      <c r="H210" s="58"/>
      <c r="I210" s="55" t="s">
        <v>75</v>
      </c>
      <c r="J210" s="57" t="e">
        <f aca="false">tranvalue(K210/$K$197,2)</f>
        <v>#DIV/0!</v>
      </c>
      <c r="K210" s="44"/>
      <c r="L210" s="36"/>
      <c r="M210" s="59" t="e">
        <f aca="false">IF(L210="n.a.","n.a.",tranvalue(L210/($L$197*$M$197)*100,IF(L210/($L$197*$M$197)*100&lt;0.0001,5,IF(L210/($L$197*$M$197)*100&lt;0.001,4,IF(L210/($L$197*$M$197)*100&lt;0.01,3,IF(L210/($L$197*$M$197)*100&lt;0.1,2,IF(L210/($L$197*$M$197)*100&lt;1,1,0)))))))</f>
        <v>#DIV/0!</v>
      </c>
      <c r="N210" s="59" t="str">
        <f aca="false">IF(L210&lt;$D$27,"忽略不计",M210)</f>
        <v>忽略不计</v>
      </c>
      <c r="IJ210" s="1"/>
      <c r="IK210" s="1"/>
      <c r="IL210" s="1"/>
    </row>
    <row r="211" customFormat="false" ht="17.15" hidden="false" customHeight="false" outlineLevel="0" collapsed="false">
      <c r="A211" s="58"/>
      <c r="B211" s="55" t="s">
        <v>76</v>
      </c>
      <c r="C211" s="57" t="n">
        <f aca="false">tranvalue(D211/$D$197,2)</f>
        <v>0</v>
      </c>
      <c r="D211" s="44"/>
      <c r="E211" s="36"/>
      <c r="F211" s="59" t="n">
        <f aca="false">IF(E211="n.a.","n.a.",tranvalue(E211/($E$197*$F$197)*100,IF(E211/($E$197*$F$197)*100&lt;0.0001,5,IF(E211/($E$197*$F$197)*100&lt;0.001,4,IF(E211/($E$197*$F$197)*100&lt;0.01,3,IF(E211/($E$197*$F$197)*100&lt;0.1,2,IF(E211/($E$197*$F$197)*100&lt;1,1,0)))))))</f>
        <v>0</v>
      </c>
      <c r="G211" s="59" t="str">
        <f aca="false">IF(E211&lt;$D$27,"忽略不计",F211)</f>
        <v>忽略不计</v>
      </c>
      <c r="H211" s="58"/>
      <c r="I211" s="55" t="s">
        <v>76</v>
      </c>
      <c r="J211" s="57" t="e">
        <f aca="false">tranvalue(K211/$K$197,2)</f>
        <v>#DIV/0!</v>
      </c>
      <c r="K211" s="44"/>
      <c r="L211" s="36"/>
      <c r="M211" s="59" t="e">
        <f aca="false">IF(L211="n.a.","n.a.",tranvalue(L211/($L$197*$M$197)*100,IF(L211/($L$197*$M$197)*100&lt;0.0001,5,IF(L211/($L$197*$M$197)*100&lt;0.001,4,IF(L211/($L$197*$M$197)*100&lt;0.01,3,IF(L211/($L$197*$M$197)*100&lt;0.1,2,IF(L211/($L$197*$M$197)*100&lt;1,1,0)))))))</f>
        <v>#DIV/0!</v>
      </c>
      <c r="N211" s="59" t="str">
        <f aca="false">IF(L211&lt;$D$27,"忽略不计",M211)</f>
        <v>忽略不计</v>
      </c>
      <c r="IJ211" s="1"/>
      <c r="IK211" s="1"/>
      <c r="IL211" s="1"/>
    </row>
    <row r="212" customFormat="false" ht="17.15" hidden="false" customHeight="false" outlineLevel="0" collapsed="false">
      <c r="A212" s="58"/>
      <c r="B212" s="55" t="s">
        <v>77</v>
      </c>
      <c r="C212" s="57" t="n">
        <f aca="false">tranvalue(D212/$D$197,2)</f>
        <v>0</v>
      </c>
      <c r="D212" s="44"/>
      <c r="E212" s="34"/>
      <c r="F212" s="59" t="n">
        <f aca="false">IF(E212="n.a.","n.a.",tranvalue(E212/($E$197*$F$197)*100,IF(E212/($E$197*$F$197)*100&lt;0.0001,5,IF(E212/($E$197*$F$197)*100&lt;0.001,4,IF(E212/($E$197*$F$197)*100&lt;0.01,3,IF(E212/($E$197*$F$197)*100&lt;0.1,2,IF(E212/($E$197*$F$197)*100&lt;1,1,0)))))))</f>
        <v>0</v>
      </c>
      <c r="G212" s="59" t="str">
        <f aca="false">IF(E212&lt;$D$27,"忽略不计",F212)</f>
        <v>忽略不计</v>
      </c>
      <c r="H212" s="58"/>
      <c r="I212" s="55" t="s">
        <v>77</v>
      </c>
      <c r="J212" s="57" t="e">
        <f aca="false">tranvalue(K212/$K$197,2)</f>
        <v>#DIV/0!</v>
      </c>
      <c r="K212" s="44"/>
      <c r="L212" s="36"/>
      <c r="M212" s="59" t="e">
        <f aca="false">IF(L212="n.a.","n.a.",tranvalue(L212/($L$197*$M$197)*100,IF(L212/($L$197*$M$197)*100&lt;0.0001,5,IF(L212/($L$197*$M$197)*100&lt;0.001,4,IF(L212/($L$197*$M$197)*100&lt;0.01,3,IF(L212/($L$197*$M$197)*100&lt;0.1,2,IF(L212/($L$197*$M$197)*100&lt;1,1,0)))))))</f>
        <v>#DIV/0!</v>
      </c>
      <c r="N212" s="59" t="str">
        <f aca="false">IF(L212&lt;$D$27,"忽略不计",M212)</f>
        <v>忽略不计</v>
      </c>
      <c r="IJ212" s="1"/>
      <c r="IK212" s="1"/>
      <c r="IL212" s="1"/>
    </row>
    <row r="213" customFormat="false" ht="17.15" hidden="false" customHeight="false" outlineLevel="0" collapsed="false">
      <c r="A213" s="58"/>
      <c r="B213" s="55" t="s">
        <v>78</v>
      </c>
      <c r="C213" s="57" t="n">
        <f aca="false">tranvalue(D213/$D$197,2)</f>
        <v>0</v>
      </c>
      <c r="D213" s="44"/>
      <c r="E213" s="34"/>
      <c r="F213" s="59" t="n">
        <f aca="false">IF(E213="n.a.","n.a.",tranvalue(E213/($E$197*$F$197)*100,IF(E213/($E$197*$F$197)*100&lt;0.0001,5,IF(E213/($E$197*$F$197)*100&lt;0.001,4,IF(E213/($E$197*$F$197)*100&lt;0.01,3,IF(E213/($E$197*$F$197)*100&lt;0.1,2,IF(E213/($E$197*$F$197)*100&lt;1,1,0)))))))</f>
        <v>0</v>
      </c>
      <c r="G213" s="59" t="str">
        <f aca="false">IF(E213&lt;$D$27,"忽略不计",F213)</f>
        <v>忽略不计</v>
      </c>
      <c r="H213" s="58"/>
      <c r="I213" s="55" t="s">
        <v>78</v>
      </c>
      <c r="J213" s="57" t="e">
        <f aca="false">tranvalue(K213/$K$197,2)</f>
        <v>#DIV/0!</v>
      </c>
      <c r="K213" s="44"/>
      <c r="L213" s="36"/>
      <c r="M213" s="59" t="e">
        <f aca="false">IF(L213="n.a.","n.a.",tranvalue(L213/($L$197*$M$197)*100,IF(L213/($L$197*$M$197)*100&lt;0.0001,5,IF(L213/($L$197*$M$197)*100&lt;0.001,4,IF(L213/($L$197*$M$197)*100&lt;0.01,3,IF(L213/($L$197*$M$197)*100&lt;0.1,2,IF(L213/($L$197*$M$197)*100&lt;1,1,0)))))))</f>
        <v>#DIV/0!</v>
      </c>
      <c r="N213" s="59" t="str">
        <f aca="false">IF(L213&lt;$D$27,"忽略不计",M213)</f>
        <v>忽略不计</v>
      </c>
      <c r="IJ213" s="1"/>
      <c r="IK213" s="1"/>
      <c r="IL213" s="1"/>
    </row>
    <row r="214" customFormat="false" ht="17.15" hidden="false" customHeight="false" outlineLevel="0" collapsed="false">
      <c r="A214" s="58"/>
      <c r="B214" s="55" t="s">
        <v>79</v>
      </c>
      <c r="C214" s="57" t="n">
        <f aca="false">tranvalue(D214/$D$197,2)</f>
        <v>0</v>
      </c>
      <c r="D214" s="44"/>
      <c r="E214" s="34"/>
      <c r="F214" s="59" t="n">
        <f aca="false">IF(E214="n.a.","n.a.",tranvalue(E214/($E$197*$F$197)*100,IF(E214/($E$197*$F$197)*100&lt;0.0001,5,IF(E214/($E$197*$F$197)*100&lt;0.001,4,IF(E214/($E$197*$F$197)*100&lt;0.01,3,IF(E214/($E$197*$F$197)*100&lt;0.1,2,IF(E214/($E$197*$F$197)*100&lt;1,1,0)))))))</f>
        <v>0</v>
      </c>
      <c r="G214" s="59" t="str">
        <f aca="false">IF(E214&lt;$D$27,"忽略不计",F214)</f>
        <v>忽略不计</v>
      </c>
      <c r="H214" s="58"/>
      <c r="I214" s="55" t="s">
        <v>79</v>
      </c>
      <c r="J214" s="57" t="e">
        <f aca="false">tranvalue(K214/$K$197,2)</f>
        <v>#DIV/0!</v>
      </c>
      <c r="K214" s="44"/>
      <c r="L214" s="36"/>
      <c r="M214" s="59" t="e">
        <f aca="false">IF(L214="n.a.","n.a.",tranvalue(L214/($L$197*$M$197)*100,IF(L214/($L$197*$M$197)*100&lt;0.0001,5,IF(L214/($L$197*$M$197)*100&lt;0.001,4,IF(L214/($L$197*$M$197)*100&lt;0.01,3,IF(L214/($L$197*$M$197)*100&lt;0.1,2,IF(L214/($L$197*$M$197)*100&lt;1,1,0)))))))</f>
        <v>#DIV/0!</v>
      </c>
      <c r="N214" s="59" t="str">
        <f aca="false">IF(L214&lt;$D$27,"忽略不计",M214)</f>
        <v>忽略不计</v>
      </c>
      <c r="IJ214" s="1"/>
      <c r="IK214" s="1"/>
      <c r="IL214" s="1"/>
    </row>
    <row r="215" customFormat="false" ht="17.15" hidden="false" customHeight="false" outlineLevel="0" collapsed="false">
      <c r="A215" s="58"/>
      <c r="B215" s="55" t="s">
        <v>80</v>
      </c>
      <c r="C215" s="57" t="n">
        <f aca="false">tranvalue(D215/$D$197,2)</f>
        <v>0</v>
      </c>
      <c r="D215" s="44"/>
      <c r="E215" s="34"/>
      <c r="F215" s="59" t="n">
        <f aca="false">IF(E215="n.a.","n.a.",tranvalue(E215/($E$197*$F$197)*100,IF(E215/($E$197*$F$197)*100&lt;0.0001,5,IF(E215/($E$197*$F$197)*100&lt;0.001,4,IF(E215/($E$197*$F$197)*100&lt;0.01,3,IF(E215/($E$197*$F$197)*100&lt;0.1,2,IF(E215/($E$197*$F$197)*100&lt;1,1,0)))))))</f>
        <v>0</v>
      </c>
      <c r="G215" s="59" t="str">
        <f aca="false">IF(E215&lt;$D$27,"忽略不计",F215)</f>
        <v>忽略不计</v>
      </c>
      <c r="H215" s="58"/>
      <c r="I215" s="55" t="s">
        <v>80</v>
      </c>
      <c r="J215" s="57" t="e">
        <f aca="false">tranvalue(K215/$K$197,2)</f>
        <v>#DIV/0!</v>
      </c>
      <c r="K215" s="44"/>
      <c r="L215" s="36"/>
      <c r="M215" s="59" t="e">
        <f aca="false">IF(L215="n.a.","n.a.",tranvalue(L215/($L$197*$M$197)*100,IF(L215/($L$197*$M$197)*100&lt;0.0001,5,IF(L215/($L$197*$M$197)*100&lt;0.001,4,IF(L215/($L$197*$M$197)*100&lt;0.01,3,IF(L215/($L$197*$M$197)*100&lt;0.1,2,IF(L215/($L$197*$M$197)*100&lt;1,1,0)))))))</f>
        <v>#DIV/0!</v>
      </c>
      <c r="N215" s="59" t="str">
        <f aca="false">IF(L215&lt;$D$27,"忽略不计",M215)</f>
        <v>忽略不计</v>
      </c>
      <c r="IJ215" s="1"/>
      <c r="IK215" s="1"/>
      <c r="IL215" s="1"/>
    </row>
    <row r="216" customFormat="false" ht="17.15" hidden="false" customHeight="false" outlineLevel="0" collapsed="false">
      <c r="A216" s="58"/>
      <c r="B216" s="55" t="s">
        <v>81</v>
      </c>
      <c r="C216" s="57" t="n">
        <f aca="false">tranvalue(D216/$D$197,2)</f>
        <v>0</v>
      </c>
      <c r="D216" s="44"/>
      <c r="E216" s="34"/>
      <c r="F216" s="59" t="n">
        <f aca="false">IF(E216="n.a.","n.a.",tranvalue(E216/($E$197*$F$197)*100,IF(E216/($E$197*$F$197)*100&lt;0.0001,5,IF(E216/($E$197*$F$197)*100&lt;0.001,4,IF(E216/($E$197*$F$197)*100&lt;0.01,3,IF(E216/($E$197*$F$197)*100&lt;0.1,2,IF(E216/($E$197*$F$197)*100&lt;1,1,0)))))))</f>
        <v>0</v>
      </c>
      <c r="G216" s="59" t="str">
        <f aca="false">IF(E216&lt;$D$27,"忽略不计",F216)</f>
        <v>忽略不计</v>
      </c>
      <c r="H216" s="58"/>
      <c r="I216" s="55" t="s">
        <v>81</v>
      </c>
      <c r="J216" s="57" t="e">
        <f aca="false">tranvalue(K216/$K$197,2)</f>
        <v>#DIV/0!</v>
      </c>
      <c r="K216" s="44"/>
      <c r="L216" s="36"/>
      <c r="M216" s="59" t="e">
        <f aca="false">IF(L216="n.a.","n.a.",tranvalue(L216/($L$197*$M$197)*100,IF(L216/($L$197*$M$197)*100&lt;0.0001,5,IF(L216/($L$197*$M$197)*100&lt;0.001,4,IF(L216/($L$197*$M$197)*100&lt;0.01,3,IF(L216/($L$197*$M$197)*100&lt;0.1,2,IF(L216/($L$197*$M$197)*100&lt;1,1,0)))))))</f>
        <v>#DIV/0!</v>
      </c>
      <c r="N216" s="59" t="str">
        <f aca="false">IF(L216&lt;$D$27,"忽略不计",M216)</f>
        <v>忽略不计</v>
      </c>
      <c r="IJ216" s="1"/>
      <c r="IK216" s="1"/>
      <c r="IL216" s="1"/>
    </row>
    <row r="217" customFormat="false" ht="17.15" hidden="false" customHeight="false" outlineLevel="0" collapsed="false">
      <c r="A217" s="58"/>
      <c r="B217" s="55" t="s">
        <v>82</v>
      </c>
      <c r="C217" s="57" t="n">
        <f aca="false">tranvalue(D217/$D$197,2)</f>
        <v>0</v>
      </c>
      <c r="D217" s="44"/>
      <c r="E217" s="34"/>
      <c r="F217" s="59" t="n">
        <f aca="false">IF(E217="n.a.","n.a.",tranvalue(E217/($E$197*$F$197)*100,IF(E217/($E$197*$F$197)*100&lt;0.0001,5,IF(E217/($E$197*$F$197)*100&lt;0.001,4,IF(E217/($E$197*$F$197)*100&lt;0.01,3,IF(E217/($E$197*$F$197)*100&lt;0.1,2,IF(E217/($E$197*$F$197)*100&lt;1,1,0)))))))</f>
        <v>0</v>
      </c>
      <c r="G217" s="59" t="str">
        <f aca="false">IF(E217&lt;$D$27,"忽略不计",F217)</f>
        <v>忽略不计</v>
      </c>
      <c r="H217" s="58"/>
      <c r="I217" s="55" t="s">
        <v>82</v>
      </c>
      <c r="J217" s="57" t="e">
        <f aca="false">tranvalue(K217/$K$197,2)</f>
        <v>#DIV/0!</v>
      </c>
      <c r="K217" s="44"/>
      <c r="L217" s="36"/>
      <c r="M217" s="59" t="e">
        <f aca="false">IF(L217="n.a.","n.a.",tranvalue(L217/($L$197*$M$197)*100,IF(L217/($L$197*$M$197)*100&lt;0.0001,5,IF(L217/($L$197*$M$197)*100&lt;0.001,4,IF(L217/($L$197*$M$197)*100&lt;0.01,3,IF(L217/($L$197*$M$197)*100&lt;0.1,2,IF(L217/($L$197*$M$197)*100&lt;1,1,0)))))))</f>
        <v>#DIV/0!</v>
      </c>
      <c r="N217" s="59" t="str">
        <f aca="false">IF(L217&lt;$D$27,"忽略不计",M217)</f>
        <v>忽略不计</v>
      </c>
      <c r="IJ217" s="1"/>
      <c r="IK217" s="1"/>
      <c r="IL217" s="1"/>
    </row>
    <row r="218" customFormat="false" ht="17.15" hidden="false" customHeight="false" outlineLevel="0" collapsed="false">
      <c r="A218" s="58"/>
      <c r="B218" s="55" t="s">
        <v>83</v>
      </c>
      <c r="C218" s="57" t="n">
        <f aca="false">tranvalue(D218/$D$197,2)</f>
        <v>0</v>
      </c>
      <c r="D218" s="44"/>
      <c r="E218" s="34"/>
      <c r="F218" s="59" t="n">
        <f aca="false">IF(E218="n.a.","n.a.",tranvalue(E218/($E$197*$F$197)*100,IF(E218/($E$197*$F$197)*100&lt;0.0001,5,IF(E218/($E$197*$F$197)*100&lt;0.001,4,IF(E218/($E$197*$F$197)*100&lt;0.01,3,IF(E218/($E$197*$F$197)*100&lt;0.1,2,IF(E218/($E$197*$F$197)*100&lt;1,1,0)))))))</f>
        <v>0</v>
      </c>
      <c r="G218" s="59" t="str">
        <f aca="false">IF(E218&lt;$D$27,"忽略不计",F218)</f>
        <v>忽略不计</v>
      </c>
      <c r="H218" s="58"/>
      <c r="I218" s="55" t="s">
        <v>83</v>
      </c>
      <c r="J218" s="57" t="e">
        <f aca="false">tranvalue(K218/$K$197,2)</f>
        <v>#DIV/0!</v>
      </c>
      <c r="K218" s="44"/>
      <c r="L218" s="36"/>
      <c r="M218" s="59" t="e">
        <f aca="false">IF(L218="n.a.","n.a.",tranvalue(L218/($L$197*$M$197)*100,IF(L218/($L$197*$M$197)*100&lt;0.0001,5,IF(L218/($L$197*$M$197)*100&lt;0.001,4,IF(L218/($L$197*$M$197)*100&lt;0.01,3,IF(L218/($L$197*$M$197)*100&lt;0.1,2,IF(L218/($L$197*$M$197)*100&lt;1,1,0)))))))</f>
        <v>#DIV/0!</v>
      </c>
      <c r="N218" s="59" t="str">
        <f aca="false">IF(L218&lt;$D$27,"忽略不计",M218)</f>
        <v>忽略不计</v>
      </c>
      <c r="IJ218" s="1"/>
      <c r="IK218" s="1"/>
      <c r="IL218" s="1"/>
    </row>
    <row r="219" customFormat="false" ht="17.15" hidden="false" customHeight="false" outlineLevel="0" collapsed="false">
      <c r="A219" s="58"/>
      <c r="B219" s="55" t="s">
        <v>84</v>
      </c>
      <c r="C219" s="57" t="n">
        <f aca="false">tranvalue(D219/$D$197,2)</f>
        <v>0</v>
      </c>
      <c r="D219" s="60"/>
      <c r="E219" s="61"/>
      <c r="F219" s="59" t="n">
        <f aca="false">IF(E219="n.a.","n.a.",tranvalue(E219/($E$197*$F$197)*100,IF(E219/($E$197*$F$197)*100&lt;0.0001,5,IF(E219/($E$197*$F$197)*100&lt;0.001,4,IF(E219/($E$197*$F$197)*100&lt;0.01,3,IF(E219/($E$197*$F$197)*100&lt;0.1,2,IF(E219/($E$197*$F$197)*100&lt;1,1,0)))))))</f>
        <v>0</v>
      </c>
      <c r="G219" s="59" t="str">
        <f aca="false">IF(E219&lt;$D$27,"忽略不计",F219)</f>
        <v>忽略不计</v>
      </c>
      <c r="H219" s="58"/>
      <c r="I219" s="55" t="s">
        <v>84</v>
      </c>
      <c r="J219" s="57" t="e">
        <f aca="false">tranvalue(K219/$K$197,2)</f>
        <v>#DIV/0!</v>
      </c>
      <c r="K219" s="60"/>
      <c r="L219" s="62"/>
      <c r="M219" s="59" t="e">
        <f aca="false">IF(L219="n.a.","n.a.",tranvalue(L219/($L$197*$M$197)*100,IF(L219/($L$197*$M$197)*100&lt;0.0001,5,IF(L219/($L$197*$M$197)*100&lt;0.001,4,IF(L219/($L$197*$M$197)*100&lt;0.01,3,IF(L219/($L$197*$M$197)*100&lt;0.1,2,IF(L219/($L$197*$M$197)*100&lt;1,1,0)))))))</f>
        <v>#DIV/0!</v>
      </c>
      <c r="N219" s="59" t="str">
        <f aca="false">IF(L219&lt;$D$27,"忽略不计",M219)</f>
        <v>忽略不计</v>
      </c>
      <c r="IJ219" s="1"/>
      <c r="IK219" s="1"/>
      <c r="IL219" s="1"/>
    </row>
    <row r="220" customFormat="false" ht="29.1" hidden="false" customHeight="true" outlineLevel="0" collapsed="false">
      <c r="A220" s="55" t="s">
        <v>85</v>
      </c>
      <c r="B220" s="56" t="s">
        <v>86</v>
      </c>
      <c r="C220" s="56"/>
      <c r="D220" s="56"/>
      <c r="E220" s="56"/>
      <c r="F220" s="63" t="n">
        <f aca="false">MAX(F200:F219)</f>
        <v>0.06</v>
      </c>
      <c r="G220" s="59" t="str">
        <f aca="false">IF(MAX(E200:E219)&lt;$D$27,"忽略不计",F220)</f>
        <v>忽略不计</v>
      </c>
      <c r="H220" s="55" t="s">
        <v>85</v>
      </c>
      <c r="I220" s="56" t="s">
        <v>86</v>
      </c>
      <c r="J220" s="56"/>
      <c r="K220" s="56"/>
      <c r="L220" s="56"/>
      <c r="M220" s="63" t="e">
        <f aca="false">MAX(M200:M219)</f>
        <v>#DIV/0!</v>
      </c>
      <c r="N220" s="59" t="str">
        <f aca="false">IF(MAX(L200:L219)&lt;$D$27,"忽略不计",M220)</f>
        <v>忽略不计</v>
      </c>
      <c r="IJ220" s="1"/>
    </row>
    <row r="221" customFormat="false" ht="17.15" hidden="false" customHeight="true" outlineLevel="0" collapsed="false">
      <c r="A221" s="55"/>
      <c r="B221" s="56" t="s">
        <v>87</v>
      </c>
      <c r="C221" s="56"/>
      <c r="D221" s="56"/>
      <c r="E221" s="56"/>
      <c r="F221" s="63" t="n">
        <f aca="false">IF(SUM(F199:F219)=0,0,tranvalue(SUM(F199:F219),IF(SUM(F199:F219)&lt;0.0001,6,IF(SUM(F199:F219)&lt;0.001,5,IF(SUM(F199:F219)&lt;0.01,4,IF(SUM(F199:F219)&lt;0.1,3,IF(SUM(F199:F219)&lt;1,2,1)))))))</f>
        <v>0.51</v>
      </c>
      <c r="G221" s="63"/>
      <c r="H221" s="55"/>
      <c r="I221" s="56" t="s">
        <v>87</v>
      </c>
      <c r="J221" s="56"/>
      <c r="K221" s="56"/>
      <c r="L221" s="56"/>
      <c r="M221" s="63" t="e">
        <f aca="false">IF(SUM(M199:M219)=0,0,tranvalue(SUM(M199:M219),IF(SUM(M199:M219)&lt;0.0001,6,IF(SUM(M199:M219)&lt;0.001,5,IF(SUM(M199:M219)&lt;0.01,4,IF(SUM(M199:M219)&lt;0.1,3,IF(SUM(M199:M219)&lt;1,2,1)))))))</f>
        <v>#DIV/0!</v>
      </c>
      <c r="N221" s="63"/>
      <c r="IJ221" s="1"/>
    </row>
    <row r="222" customFormat="false" ht="17.15" hidden="false" customHeight="true" outlineLevel="0" collapsed="false">
      <c r="A222" s="55"/>
      <c r="B222" s="56" t="s">
        <v>88</v>
      </c>
      <c r="C222" s="56"/>
      <c r="D222" s="56"/>
      <c r="E222" s="56"/>
      <c r="F222" s="63" t="n">
        <f aca="false">IF(SUM(G199:G219)=0,"0",tranvalue(SUM(G199:G219),IF(SUM(G199:G219)&lt;0.0001,6,IF(SUM(G199:G219)&lt;0.001,5,IF(SUM(G199:G219)&lt;0.01,4,IF(SUM(G199:G219)&lt;0.1,3,IF(SUM(G199:G219)&lt;1,2,1)))))))</f>
        <v>0.2</v>
      </c>
      <c r="G222" s="63"/>
      <c r="H222" s="55"/>
      <c r="I222" s="56" t="s">
        <v>88</v>
      </c>
      <c r="J222" s="56"/>
      <c r="K222" s="56"/>
      <c r="L222" s="56"/>
      <c r="M222" s="63" t="str">
        <f aca="false">IF(SUM(N199:N219)=0,"0",tranvalue(SUM(N199:N219),IF(SUM(N199:N219)&lt;0.0001,6,IF(SUM(N199:N219)&lt;0.001,5,IF(SUM(N199:N219)&lt;0.01,4,IF(SUM(N199:N219)&lt;0.1,3,IF(SUM(N199:N219)&lt;1,2,1)))))))</f>
        <v>0</v>
      </c>
      <c r="N222" s="63"/>
      <c r="IJ222" s="1"/>
    </row>
    <row r="223" customFormat="false" ht="13.8" hidden="false" customHeight="false" outlineLevel="0" collapsed="false">
      <c r="IJ223" s="1"/>
    </row>
    <row r="224" customFormat="false" ht="14.25" hidden="false" customHeight="true" outlineLevel="0" collapsed="false">
      <c r="B224" s="1" t="s">
        <v>89</v>
      </c>
      <c r="F224" s="64"/>
      <c r="IJ224" s="1"/>
    </row>
    <row r="225" customFormat="false" ht="13.8" hidden="false" customHeight="false" outlineLevel="0" collapsed="false">
      <c r="R225" s="2"/>
      <c r="IJ225" s="1"/>
    </row>
    <row r="226" customFormat="false" ht="13.8" hidden="false" customHeight="false" outlineLevel="0" collapsed="false">
      <c r="R226" s="2"/>
      <c r="IJ226" s="1"/>
    </row>
    <row r="227" customFormat="false" ht="13.8" hidden="false" customHeight="false" outlineLevel="0" collapsed="false">
      <c r="R227" s="2"/>
      <c r="IJ227" s="1"/>
    </row>
    <row r="228" customFormat="false" ht="13.8" hidden="false" customHeight="false" outlineLevel="0" collapsed="false">
      <c r="R228" s="2"/>
      <c r="IJ228" s="1"/>
    </row>
    <row r="229" customFormat="false" ht="13.8" hidden="false" customHeight="false" outlineLevel="0" collapsed="false">
      <c r="B229" s="1" t="s">
        <v>90</v>
      </c>
      <c r="R229" s="2"/>
      <c r="IJ229" s="1"/>
    </row>
    <row r="230" customFormat="false" ht="13.8" hidden="false" customHeight="false" outlineLevel="0" collapsed="false">
      <c r="R230" s="2"/>
      <c r="IJ230" s="1"/>
    </row>
    <row r="231" customFormat="false" ht="13.8" hidden="false" customHeight="false" outlineLevel="0" collapsed="false">
      <c r="R231" s="2"/>
      <c r="IJ231" s="1"/>
    </row>
    <row r="232" customFormat="false" ht="13.8" hidden="false" customHeight="false" outlineLevel="0" collapsed="false">
      <c r="R232" s="2"/>
      <c r="IJ232" s="1"/>
    </row>
    <row r="233" customFormat="false" ht="17.15" hidden="false" customHeight="false" outlineLevel="0" collapsed="false">
      <c r="A233" s="1" t="s">
        <v>91</v>
      </c>
      <c r="D233" s="2"/>
      <c r="H233" s="1" t="s">
        <v>92</v>
      </c>
      <c r="R233" s="2"/>
      <c r="IJ233" s="1"/>
    </row>
    <row r="236" customFormat="false" ht="17.15" hidden="false" customHeight="false" outlineLevel="0" collapsed="false">
      <c r="A236" s="42" t="s">
        <v>50</v>
      </c>
      <c r="B236" s="22"/>
      <c r="C236" s="22"/>
      <c r="D236" s="22"/>
      <c r="E236" s="22"/>
      <c r="F236" s="22"/>
      <c r="G236" s="22"/>
      <c r="H236" s="42" t="s">
        <v>50</v>
      </c>
      <c r="I236" s="22"/>
      <c r="J236" s="22"/>
      <c r="K236" s="22"/>
      <c r="L236" s="22"/>
      <c r="M236" s="22"/>
      <c r="N236" s="22"/>
      <c r="R236" s="2"/>
      <c r="IJ236" s="1"/>
    </row>
    <row r="237" customFormat="false" ht="43.5" hidden="false" customHeight="true" outlineLevel="0" collapsed="false">
      <c r="A237" s="52" t="s">
        <v>23</v>
      </c>
      <c r="B237" s="53" t="s">
        <v>53</v>
      </c>
      <c r="C237" s="53" t="s">
        <v>54</v>
      </c>
      <c r="D237" s="43" t="s">
        <v>55</v>
      </c>
      <c r="E237" s="54" t="s">
        <v>48</v>
      </c>
      <c r="F237" s="52" t="s">
        <v>56</v>
      </c>
      <c r="G237" s="52"/>
      <c r="H237" s="52" t="s">
        <v>23</v>
      </c>
      <c r="I237" s="52" t="s">
        <v>53</v>
      </c>
      <c r="J237" s="52" t="s">
        <v>54</v>
      </c>
      <c r="K237" s="43" t="s">
        <v>55</v>
      </c>
      <c r="L237" s="43" t="s">
        <v>48</v>
      </c>
      <c r="M237" s="52" t="s">
        <v>56</v>
      </c>
      <c r="N237" s="52"/>
      <c r="R237" s="2"/>
      <c r="IJ237" s="1"/>
      <c r="IK237" s="1"/>
      <c r="IL237" s="1"/>
    </row>
    <row r="238" customFormat="false" ht="17.15" hidden="false" customHeight="false" outlineLevel="0" collapsed="false">
      <c r="A238" s="55" t="s">
        <v>57</v>
      </c>
      <c r="B238" s="56" t="s">
        <v>58</v>
      </c>
      <c r="C238" s="57" t="e">
        <f aca="false">D238/$D$238</f>
        <v>#DIV/0!</v>
      </c>
      <c r="D238" s="44"/>
      <c r="E238" s="34"/>
      <c r="F238" s="38" t="n">
        <f aca="false">100/0.1</f>
        <v>1000</v>
      </c>
      <c r="G238" s="38"/>
      <c r="H238" s="55" t="s">
        <v>57</v>
      </c>
      <c r="I238" s="56" t="s">
        <v>58</v>
      </c>
      <c r="J238" s="57" t="e">
        <f aca="false">K238/$K$238</f>
        <v>#DIV/0!</v>
      </c>
      <c r="K238" s="44"/>
      <c r="L238" s="34"/>
      <c r="M238" s="38" t="n">
        <f aca="false">100/0.1</f>
        <v>1000</v>
      </c>
      <c r="N238" s="38"/>
      <c r="R238" s="2"/>
      <c r="IJ238" s="1"/>
      <c r="IK238" s="1"/>
      <c r="IL238" s="1"/>
    </row>
    <row r="239" customFormat="false" ht="32.8" hidden="false" customHeight="false" outlineLevel="0" collapsed="false">
      <c r="A239" s="52" t="s">
        <v>23</v>
      </c>
      <c r="B239" s="52" t="s">
        <v>59</v>
      </c>
      <c r="C239" s="57" t="e">
        <f aca="false">tranvalue(D240/$D$238,2)</f>
        <v>#DIV/0!</v>
      </c>
      <c r="D239" s="43" t="s">
        <v>55</v>
      </c>
      <c r="E239" s="43" t="s">
        <v>48</v>
      </c>
      <c r="F239" s="52" t="s">
        <v>60</v>
      </c>
      <c r="G239" s="52" t="s">
        <v>61</v>
      </c>
      <c r="H239" s="52" t="s">
        <v>23</v>
      </c>
      <c r="I239" s="52" t="s">
        <v>59</v>
      </c>
      <c r="J239" s="53" t="s">
        <v>54</v>
      </c>
      <c r="K239" s="43" t="s">
        <v>55</v>
      </c>
      <c r="L239" s="43" t="s">
        <v>48</v>
      </c>
      <c r="M239" s="52" t="s">
        <v>60</v>
      </c>
      <c r="N239" s="52" t="s">
        <v>61</v>
      </c>
      <c r="R239" s="2"/>
      <c r="IJ239" s="1"/>
      <c r="IK239" s="1"/>
      <c r="IL239" s="1"/>
    </row>
    <row r="240" customFormat="false" ht="17.15" hidden="false" customHeight="false" outlineLevel="0" collapsed="false">
      <c r="A240" s="58" t="s">
        <v>62</v>
      </c>
      <c r="B240" s="55" t="s">
        <v>63</v>
      </c>
      <c r="C240" s="57" t="e">
        <f aca="false">tranvalue(D241/$D$238,2)</f>
        <v>#DIV/0!</v>
      </c>
      <c r="D240" s="44"/>
      <c r="E240" s="36"/>
      <c r="F240" s="59" t="e">
        <f aca="false">IF(E240="n.a.","n.a.",tranvalue(E240/($E$238*$F$238)*100,IF(E240/($E$238*$F$238)*100&lt;0.0001,5,IF(E240/($E$238*$F$238)*100&lt;0.001,4,IF(E240/($E$238*$F$238)*100&lt;0.01,3,IF(E240/($E$238*$F$238)*100&lt;0.1,2,IF(E240/($E$238*$F$238)*100&lt;1,1,0)))))))</f>
        <v>#DIV/0!</v>
      </c>
      <c r="G240" s="59" t="str">
        <f aca="false">IF(E240&lt;$D$27,"忽略不计",F240)</f>
        <v>忽略不计</v>
      </c>
      <c r="H240" s="58" t="s">
        <v>62</v>
      </c>
      <c r="I240" s="55" t="s">
        <v>63</v>
      </c>
      <c r="J240" s="57" t="e">
        <f aca="false">tranvalue(K240/$K$238,2)</f>
        <v>#DIV/0!</v>
      </c>
      <c r="K240" s="44"/>
      <c r="L240" s="34"/>
      <c r="M240" s="59" t="e">
        <f aca="false">IF(L240="n.a.","n.a.",tranvalue(L240/($L$238*$M$238)*100,IF(L240/($L$238*$M$238)*100&lt;0.0001,5,IF(L240/($L$238*$M$238)*100&lt;0.001,4,IF(L240/($L$238*$M$238)*100&lt;0.01,3,IF(L240/($L$238*$M$238)*100&lt;0.1,2,IF(L240/($L$238*$M$238)*100&lt;1,1,0)))))))</f>
        <v>#DIV/0!</v>
      </c>
      <c r="N240" s="59" t="str">
        <f aca="false">IF(L240&lt;$D$27,"忽略不计",M240)</f>
        <v>忽略不计</v>
      </c>
      <c r="R240" s="2"/>
      <c r="IJ240" s="1"/>
      <c r="IK240" s="1"/>
      <c r="IL240" s="1"/>
    </row>
    <row r="241" customFormat="false" ht="17.15" hidden="false" customHeight="true" outlineLevel="0" collapsed="false">
      <c r="A241" s="58" t="s">
        <v>64</v>
      </c>
      <c r="B241" s="55" t="s">
        <v>65</v>
      </c>
      <c r="C241" s="57" t="e">
        <f aca="false">tranvalue(D242/$D$238,2)</f>
        <v>#DIV/0!</v>
      </c>
      <c r="D241" s="44"/>
      <c r="E241" s="36"/>
      <c r="F241" s="59" t="e">
        <f aca="false">IF(E241="n.a.","n.a.",tranvalue(E241/($E$238*$F$238)*100,IF(E241/($E$238*$F$238)*100&lt;0.0001,5,IF(E241/($E$238*$F$238)*100&lt;0.001,4,IF(E241/($E$238*$F$238)*100&lt;0.01,3,IF(E241/($E$238*$F$238)*100&lt;0.1,2,IF(E241/($E$238*$F$238)*100&lt;1,1,0)))))))</f>
        <v>#DIV/0!</v>
      </c>
      <c r="G241" s="59" t="str">
        <f aca="false">IF(E241&lt;$D$27,"忽略不计",F241)</f>
        <v>忽略不计</v>
      </c>
      <c r="H241" s="58" t="s">
        <v>64</v>
      </c>
      <c r="I241" s="55" t="s">
        <v>65</v>
      </c>
      <c r="J241" s="57" t="e">
        <f aca="false">tranvalue(K241/$K$238,2)</f>
        <v>#DIV/0!</v>
      </c>
      <c r="K241" s="44"/>
      <c r="L241" s="34"/>
      <c r="M241" s="59" t="e">
        <f aca="false">IF(L241="n.a.","n.a.",tranvalue(L241/($L$238*$M$238)*100,IF(L241/($L$238*$M$238)*100&lt;0.0001,5,IF(L241/($L$238*$M$238)*100&lt;0.001,4,IF(L241/($L$238*$M$238)*100&lt;0.01,3,IF(L241/($L$238*$M$238)*100&lt;0.1,2,IF(L241/($L$238*$M$238)*100&lt;1,1,0)))))))</f>
        <v>#DIV/0!</v>
      </c>
      <c r="N241" s="59" t="str">
        <f aca="false">IF(L241&lt;$D$27,"忽略不计",M241)</f>
        <v>忽略不计</v>
      </c>
      <c r="R241" s="2"/>
      <c r="IJ241" s="1"/>
      <c r="IK241" s="1"/>
      <c r="IL241" s="1"/>
    </row>
    <row r="242" customFormat="false" ht="17.15" hidden="false" customHeight="false" outlineLevel="0" collapsed="false">
      <c r="A242" s="58"/>
      <c r="B242" s="55" t="s">
        <v>66</v>
      </c>
      <c r="C242" s="57" t="e">
        <f aca="false">tranvalue(D243/$D$238,2)</f>
        <v>#DIV/0!</v>
      </c>
      <c r="D242" s="44"/>
      <c r="E242" s="36"/>
      <c r="F242" s="59" t="e">
        <f aca="false">IF(E242="n.a.","n.a.",tranvalue(E242/($E$238*$F$238)*100,IF(E242/($E$238*$F$238)*100&lt;0.0001,5,IF(E242/($E$238*$F$238)*100&lt;0.001,4,IF(E242/($E$238*$F$238)*100&lt;0.01,3,IF(E242/($E$238*$F$238)*100&lt;0.1,2,IF(E242/($E$238*$F$238)*100&lt;1,1,0)))))))</f>
        <v>#DIV/0!</v>
      </c>
      <c r="G242" s="59" t="str">
        <f aca="false">IF(E242&lt;$D$27,"忽略不计",F242)</f>
        <v>忽略不计</v>
      </c>
      <c r="H242" s="58"/>
      <c r="I242" s="55" t="s">
        <v>66</v>
      </c>
      <c r="J242" s="57" t="e">
        <f aca="false">tranvalue(K242/$K$238,2)</f>
        <v>#DIV/0!</v>
      </c>
      <c r="K242" s="44"/>
      <c r="L242" s="34"/>
      <c r="M242" s="59" t="e">
        <f aca="false">IF(L242="n.a.","n.a.",tranvalue(L242/($L$238*$M$238)*100,IF(L242/($L$238*$M$238)*100&lt;0.0001,5,IF(L242/($L$238*$M$238)*100&lt;0.001,4,IF(L242/($L$238*$M$238)*100&lt;0.01,3,IF(L242/($L$238*$M$238)*100&lt;0.1,2,IF(L242/($L$238*$M$238)*100&lt;1,1,0)))))))</f>
        <v>#DIV/0!</v>
      </c>
      <c r="N242" s="59" t="str">
        <f aca="false">IF(L242&lt;$D$27,"忽略不计",M242)</f>
        <v>忽略不计</v>
      </c>
      <c r="R242" s="2"/>
      <c r="IJ242" s="1"/>
      <c r="IK242" s="1"/>
      <c r="IL242" s="1"/>
    </row>
    <row r="243" customFormat="false" ht="17.15" hidden="false" customHeight="false" outlineLevel="0" collapsed="false">
      <c r="A243" s="58"/>
      <c r="B243" s="55" t="s">
        <v>67</v>
      </c>
      <c r="C243" s="57" t="e">
        <f aca="false">tranvalue(D244/$D$238,2)</f>
        <v>#DIV/0!</v>
      </c>
      <c r="D243" s="44"/>
      <c r="E243" s="36"/>
      <c r="F243" s="59" t="e">
        <f aca="false">IF(E243="n.a.","n.a.",tranvalue(E243/($E$238*$F$238)*100,IF(E243/($E$238*$F$238)*100&lt;0.0001,5,IF(E243/($E$238*$F$238)*100&lt;0.001,4,IF(E243/($E$238*$F$238)*100&lt;0.01,3,IF(E243/($E$238*$F$238)*100&lt;0.1,2,IF(E243/($E$238*$F$238)*100&lt;1,1,0)))))))</f>
        <v>#DIV/0!</v>
      </c>
      <c r="G243" s="59" t="str">
        <f aca="false">IF(E243&lt;$D$27,"忽略不计",F243)</f>
        <v>忽略不计</v>
      </c>
      <c r="H243" s="58"/>
      <c r="I243" s="55" t="s">
        <v>67</v>
      </c>
      <c r="J243" s="57" t="e">
        <f aca="false">tranvalue(K243/$K$238,2)</f>
        <v>#DIV/0!</v>
      </c>
      <c r="K243" s="44"/>
      <c r="L243" s="34"/>
      <c r="M243" s="59" t="e">
        <f aca="false">IF(L243="n.a.","n.a.",tranvalue(L243/($L$238*$M$238)*100,IF(L243/($L$238*$M$238)*100&lt;0.0001,5,IF(L243/($L$238*$M$238)*100&lt;0.001,4,IF(L243/($L$238*$M$238)*100&lt;0.01,3,IF(L243/($L$238*$M$238)*100&lt;0.1,2,IF(L243/($L$238*$M$238)*100&lt;1,1,0)))))))</f>
        <v>#DIV/0!</v>
      </c>
      <c r="N243" s="59" t="str">
        <f aca="false">IF(L243&lt;$D$27,"忽略不计",M243)</f>
        <v>忽略不计</v>
      </c>
      <c r="R243" s="2"/>
      <c r="IJ243" s="1"/>
      <c r="IK243" s="1"/>
      <c r="IL243" s="1"/>
    </row>
    <row r="244" customFormat="false" ht="17.15" hidden="false" customHeight="false" outlineLevel="0" collapsed="false">
      <c r="A244" s="58"/>
      <c r="B244" s="55" t="s">
        <v>68</v>
      </c>
      <c r="C244" s="57" t="e">
        <f aca="false">tranvalue(D245/$D$238,2)</f>
        <v>#DIV/0!</v>
      </c>
      <c r="D244" s="44"/>
      <c r="E244" s="36"/>
      <c r="F244" s="59" t="e">
        <f aca="false">IF(E244="n.a.","n.a.",tranvalue(E244/($E$238*$F$238)*100,IF(E244/($E$238*$F$238)*100&lt;0.0001,5,IF(E244/($E$238*$F$238)*100&lt;0.001,4,IF(E244/($E$238*$F$238)*100&lt;0.01,3,IF(E244/($E$238*$F$238)*100&lt;0.1,2,IF(E244/($E$238*$F$238)*100&lt;1,1,0)))))))</f>
        <v>#DIV/0!</v>
      </c>
      <c r="G244" s="59" t="str">
        <f aca="false">IF(E244&lt;$D$27,"忽略不计",F244)</f>
        <v>忽略不计</v>
      </c>
      <c r="H244" s="58"/>
      <c r="I244" s="55" t="s">
        <v>68</v>
      </c>
      <c r="J244" s="57" t="e">
        <f aca="false">tranvalue(K244/$K$238,2)</f>
        <v>#DIV/0!</v>
      </c>
      <c r="K244" s="44"/>
      <c r="L244" s="34"/>
      <c r="M244" s="59" t="e">
        <f aca="false">IF(L244="n.a.","n.a.",tranvalue(L244/($L$238*$M$238)*100,IF(L244/($L$238*$M$238)*100&lt;0.0001,5,IF(L244/($L$238*$M$238)*100&lt;0.001,4,IF(L244/($L$238*$M$238)*100&lt;0.01,3,IF(L244/($L$238*$M$238)*100&lt;0.1,2,IF(L244/($L$238*$M$238)*100&lt;1,1,0)))))))</f>
        <v>#DIV/0!</v>
      </c>
      <c r="N244" s="59" t="str">
        <f aca="false">IF(L244&lt;$D$27,"忽略不计",M244)</f>
        <v>忽略不计</v>
      </c>
      <c r="R244" s="2"/>
      <c r="IJ244" s="1"/>
      <c r="IK244" s="1"/>
      <c r="IL244" s="1"/>
    </row>
    <row r="245" customFormat="false" ht="17.15" hidden="false" customHeight="false" outlineLevel="0" collapsed="false">
      <c r="A245" s="58"/>
      <c r="B245" s="55" t="s">
        <v>69</v>
      </c>
      <c r="C245" s="57" t="e">
        <f aca="false">tranvalue(D246/$D$238,2)</f>
        <v>#DIV/0!</v>
      </c>
      <c r="D245" s="44"/>
      <c r="E245" s="36"/>
      <c r="F245" s="59" t="e">
        <f aca="false">IF(E245="n.a.","n.a.",tranvalue(E245/($E$238*$F$238)*100,IF(E245/($E$238*$F$238)*100&lt;0.0001,5,IF(E245/($E$238*$F$238)*100&lt;0.001,4,IF(E245/($E$238*$F$238)*100&lt;0.01,3,IF(E245/($E$238*$F$238)*100&lt;0.1,2,IF(E245/($E$238*$F$238)*100&lt;1,1,0)))))))</f>
        <v>#DIV/0!</v>
      </c>
      <c r="G245" s="59" t="str">
        <f aca="false">IF(E245&lt;$D$27,"忽略不计",F245)</f>
        <v>忽略不计</v>
      </c>
      <c r="H245" s="58"/>
      <c r="I245" s="55" t="s">
        <v>69</v>
      </c>
      <c r="J245" s="57" t="e">
        <f aca="false">tranvalue(K245/$K$238,2)</f>
        <v>#DIV/0!</v>
      </c>
      <c r="K245" s="44"/>
      <c r="L245" s="34"/>
      <c r="M245" s="59" t="e">
        <f aca="false">IF(L245="n.a.","n.a.",tranvalue(L245/($L$238*$M$238)*100,IF(L245/($L$238*$M$238)*100&lt;0.0001,5,IF(L245/($L$238*$M$238)*100&lt;0.001,4,IF(L245/($L$238*$M$238)*100&lt;0.01,3,IF(L245/($L$238*$M$238)*100&lt;0.1,2,IF(L245/($L$238*$M$238)*100&lt;1,1,0)))))))</f>
        <v>#DIV/0!</v>
      </c>
      <c r="N245" s="59" t="str">
        <f aca="false">IF(L245&lt;$D$27,"忽略不计",M245)</f>
        <v>忽略不计</v>
      </c>
      <c r="R245" s="2"/>
      <c r="IJ245" s="1"/>
      <c r="IK245" s="1"/>
      <c r="IL245" s="1"/>
    </row>
    <row r="246" customFormat="false" ht="17.15" hidden="false" customHeight="false" outlineLevel="0" collapsed="false">
      <c r="A246" s="58"/>
      <c r="B246" s="55" t="s">
        <v>70</v>
      </c>
      <c r="C246" s="57" t="e">
        <f aca="false">tranvalue(D247/$D$238,2)</f>
        <v>#DIV/0!</v>
      </c>
      <c r="D246" s="44"/>
      <c r="E246" s="36"/>
      <c r="F246" s="59" t="e">
        <f aca="false">IF(E246="n.a.","n.a.",tranvalue(E246/($E$238*$F$238)*100,IF(E246/($E$238*$F$238)*100&lt;0.0001,5,IF(E246/($E$238*$F$238)*100&lt;0.001,4,IF(E246/($E$238*$F$238)*100&lt;0.01,3,IF(E246/($E$238*$F$238)*100&lt;0.1,2,IF(E246/($E$238*$F$238)*100&lt;1,1,0)))))))</f>
        <v>#DIV/0!</v>
      </c>
      <c r="G246" s="59" t="str">
        <f aca="false">IF(E246&lt;$D$27,"忽略不计",F246)</f>
        <v>忽略不计</v>
      </c>
      <c r="H246" s="58"/>
      <c r="I246" s="55" t="s">
        <v>70</v>
      </c>
      <c r="J246" s="57" t="e">
        <f aca="false">tranvalue(K246/$K$238,2)</f>
        <v>#DIV/0!</v>
      </c>
      <c r="K246" s="44"/>
      <c r="L246" s="34"/>
      <c r="M246" s="59" t="e">
        <f aca="false">IF(L246="n.a.","n.a.",tranvalue(L246/($L$238*$M$238)*100,IF(L246/($L$238*$M$238)*100&lt;0.0001,5,IF(L246/($L$238*$M$238)*100&lt;0.001,4,IF(L246/($L$238*$M$238)*100&lt;0.01,3,IF(L246/($L$238*$M$238)*100&lt;0.1,2,IF(L246/($L$238*$M$238)*100&lt;1,1,0)))))))</f>
        <v>#DIV/0!</v>
      </c>
      <c r="N246" s="59" t="str">
        <f aca="false">IF(L246&lt;$D$27,"忽略不计",M246)</f>
        <v>忽略不计</v>
      </c>
      <c r="R246" s="2"/>
      <c r="IJ246" s="1"/>
      <c r="IK246" s="1"/>
      <c r="IL246" s="1"/>
    </row>
    <row r="247" customFormat="false" ht="17.15" hidden="false" customHeight="false" outlineLevel="0" collapsed="false">
      <c r="A247" s="58"/>
      <c r="B247" s="55" t="s">
        <v>71</v>
      </c>
      <c r="C247" s="57" t="e">
        <f aca="false">tranvalue(D248/$D$238,2)</f>
        <v>#DIV/0!</v>
      </c>
      <c r="D247" s="44"/>
      <c r="E247" s="36"/>
      <c r="F247" s="59" t="e">
        <f aca="false">IF(E247="n.a.","n.a.",tranvalue(E247/($E$238*$F$238)*100,IF(E247/($E$238*$F$238)*100&lt;0.0001,5,IF(E247/($E$238*$F$238)*100&lt;0.001,4,IF(E247/($E$238*$F$238)*100&lt;0.01,3,IF(E247/($E$238*$F$238)*100&lt;0.1,2,IF(E247/($E$238*$F$238)*100&lt;1,1,0)))))))</f>
        <v>#DIV/0!</v>
      </c>
      <c r="G247" s="59" t="str">
        <f aca="false">IF(E247&lt;$D$27,"忽略不计",F247)</f>
        <v>忽略不计</v>
      </c>
      <c r="H247" s="58"/>
      <c r="I247" s="55" t="s">
        <v>71</v>
      </c>
      <c r="J247" s="57" t="e">
        <f aca="false">tranvalue(K247/$K$238,2)</f>
        <v>#DIV/0!</v>
      </c>
      <c r="K247" s="44"/>
      <c r="L247" s="34"/>
      <c r="M247" s="59" t="e">
        <f aca="false">IF(L247="n.a.","n.a.",tranvalue(L247/($L$238*$M$238)*100,IF(L247/($L$238*$M$238)*100&lt;0.0001,5,IF(L247/($L$238*$M$238)*100&lt;0.001,4,IF(L247/($L$238*$M$238)*100&lt;0.01,3,IF(L247/($L$238*$M$238)*100&lt;0.1,2,IF(L247/($L$238*$M$238)*100&lt;1,1,0)))))))</f>
        <v>#DIV/0!</v>
      </c>
      <c r="N247" s="59" t="str">
        <f aca="false">IF(L247&lt;$D$27,"忽略不计",M247)</f>
        <v>忽略不计</v>
      </c>
      <c r="IJ247" s="1"/>
      <c r="IK247" s="1"/>
      <c r="IL247" s="1"/>
    </row>
    <row r="248" customFormat="false" ht="17.15" hidden="false" customHeight="false" outlineLevel="0" collapsed="false">
      <c r="A248" s="58"/>
      <c r="B248" s="55" t="s">
        <v>72</v>
      </c>
      <c r="C248" s="57" t="e">
        <f aca="false">tranvalue(D249/$D$238,2)</f>
        <v>#DIV/0!</v>
      </c>
      <c r="D248" s="44"/>
      <c r="E248" s="36"/>
      <c r="F248" s="59" t="e">
        <f aca="false">IF(E248="n.a.","n.a.",tranvalue(E248/($E$238*$F$238)*100,IF(E248/($E$238*$F$238)*100&lt;0.0001,5,IF(E248/($E$238*$F$238)*100&lt;0.001,4,IF(E248/($E$238*$F$238)*100&lt;0.01,3,IF(E248/($E$238*$F$238)*100&lt;0.1,2,IF(E248/($E$238*$F$238)*100&lt;1,1,0)))))))</f>
        <v>#DIV/0!</v>
      </c>
      <c r="G248" s="59" t="str">
        <f aca="false">IF(E248&lt;$D$27,"忽略不计",F248)</f>
        <v>忽略不计</v>
      </c>
      <c r="H248" s="58"/>
      <c r="I248" s="55" t="s">
        <v>72</v>
      </c>
      <c r="J248" s="57" t="e">
        <f aca="false">tranvalue(K248/$K$238,2)</f>
        <v>#DIV/0!</v>
      </c>
      <c r="K248" s="44"/>
      <c r="L248" s="34"/>
      <c r="M248" s="59" t="e">
        <f aca="false">IF(L248="n.a.","n.a.",tranvalue(L248/($L$238*$M$238)*100,IF(L248/($L$238*$M$238)*100&lt;0.0001,5,IF(L248/($L$238*$M$238)*100&lt;0.001,4,IF(L248/($L$238*$M$238)*100&lt;0.01,3,IF(L248/($L$238*$M$238)*100&lt;0.1,2,IF(L248/($L$238*$M$238)*100&lt;1,1,0)))))))</f>
        <v>#DIV/0!</v>
      </c>
      <c r="N248" s="59" t="str">
        <f aca="false">IF(L248&lt;$D$27,"忽略不计",M248)</f>
        <v>忽略不计</v>
      </c>
      <c r="IJ248" s="1"/>
      <c r="IK248" s="1"/>
      <c r="IL248" s="1"/>
    </row>
    <row r="249" customFormat="false" ht="17.15" hidden="false" customHeight="false" outlineLevel="0" collapsed="false">
      <c r="A249" s="58"/>
      <c r="B249" s="55" t="s">
        <v>73</v>
      </c>
      <c r="C249" s="57" t="e">
        <f aca="false">tranvalue(D250/$D$238,2)</f>
        <v>#DIV/0!</v>
      </c>
      <c r="D249" s="44"/>
      <c r="E249" s="36"/>
      <c r="F249" s="59" t="e">
        <f aca="false">IF(E249="n.a.","n.a.",tranvalue(E249/($E$238*$F$238)*100,IF(E249/($E$238*$F$238)*100&lt;0.0001,5,IF(E249/($E$238*$F$238)*100&lt;0.001,4,IF(E249/($E$238*$F$238)*100&lt;0.01,3,IF(E249/($E$238*$F$238)*100&lt;0.1,2,IF(E249/($E$238*$F$238)*100&lt;1,1,0)))))))</f>
        <v>#DIV/0!</v>
      </c>
      <c r="G249" s="59" t="str">
        <f aca="false">IF(E249&lt;$D$27,"忽略不计",F249)</f>
        <v>忽略不计</v>
      </c>
      <c r="H249" s="58"/>
      <c r="I249" s="55" t="s">
        <v>73</v>
      </c>
      <c r="J249" s="57" t="e">
        <f aca="false">tranvalue(K249/$K$238,2)</f>
        <v>#DIV/0!</v>
      </c>
      <c r="K249" s="44"/>
      <c r="L249" s="36"/>
      <c r="M249" s="59" t="e">
        <f aca="false">IF(L249="n.a.","n.a.",tranvalue(L249/($L$238*$M$238)*100,IF(L249/($L$238*$M$238)*100&lt;0.0001,5,IF(L249/($L$238*$M$238)*100&lt;0.001,4,IF(L249/($L$238*$M$238)*100&lt;0.01,3,IF(L249/($L$238*$M$238)*100&lt;0.1,2,IF(L249/($L$238*$M$238)*100&lt;1,1,0)))))))</f>
        <v>#DIV/0!</v>
      </c>
      <c r="N249" s="59" t="str">
        <f aca="false">IF(L249&lt;$D$27,"忽略不计",M249)</f>
        <v>忽略不计</v>
      </c>
      <c r="IJ249" s="1"/>
      <c r="IK249" s="1"/>
      <c r="IL249" s="1"/>
    </row>
    <row r="250" customFormat="false" ht="17.15" hidden="false" customHeight="false" outlineLevel="0" collapsed="false">
      <c r="A250" s="58"/>
      <c r="B250" s="55" t="s">
        <v>74</v>
      </c>
      <c r="C250" s="57" t="e">
        <f aca="false">tranvalue(D251/$D$238,2)</f>
        <v>#DIV/0!</v>
      </c>
      <c r="D250" s="44"/>
      <c r="E250" s="36"/>
      <c r="F250" s="59" t="e">
        <f aca="false">IF(E250="n.a.","n.a.",tranvalue(E250/($E$238*$F$238)*100,IF(E250/($E$238*$F$238)*100&lt;0.0001,5,IF(E250/($E$238*$F$238)*100&lt;0.001,4,IF(E250/($E$238*$F$238)*100&lt;0.01,3,IF(E250/($E$238*$F$238)*100&lt;0.1,2,IF(E250/($E$238*$F$238)*100&lt;1,1,0)))))))</f>
        <v>#DIV/0!</v>
      </c>
      <c r="G250" s="59" t="str">
        <f aca="false">IF(E250&lt;$D$27,"忽略不计",F250)</f>
        <v>忽略不计</v>
      </c>
      <c r="H250" s="58"/>
      <c r="I250" s="55" t="s">
        <v>74</v>
      </c>
      <c r="J250" s="57" t="e">
        <f aca="false">tranvalue(K250/$K$238,2)</f>
        <v>#DIV/0!</v>
      </c>
      <c r="K250" s="44"/>
      <c r="L250" s="36"/>
      <c r="M250" s="59" t="e">
        <f aca="false">IF(L250="n.a.","n.a.",tranvalue(L250/($L$238*$M$238)*100,IF(L250/($L$238*$M$238)*100&lt;0.0001,5,IF(L250/($L$238*$M$238)*100&lt;0.001,4,IF(L250/($L$238*$M$238)*100&lt;0.01,3,IF(L250/($L$238*$M$238)*100&lt;0.1,2,IF(L250/($L$238*$M$238)*100&lt;1,1,0)))))))</f>
        <v>#DIV/0!</v>
      </c>
      <c r="N250" s="59" t="str">
        <f aca="false">IF(L250&lt;$D$27,"忽略不计",M250)</f>
        <v>忽略不计</v>
      </c>
      <c r="IJ250" s="1"/>
      <c r="IK250" s="1"/>
      <c r="IL250" s="1"/>
    </row>
    <row r="251" customFormat="false" ht="17.15" hidden="false" customHeight="false" outlineLevel="0" collapsed="false">
      <c r="A251" s="58"/>
      <c r="B251" s="55" t="s">
        <v>75</v>
      </c>
      <c r="C251" s="57" t="e">
        <f aca="false">tranvalue(D252/$D$238,2)</f>
        <v>#DIV/0!</v>
      </c>
      <c r="D251" s="44"/>
      <c r="E251" s="36"/>
      <c r="F251" s="59" t="e">
        <f aca="false">IF(E251="n.a.","n.a.",tranvalue(E251/($E$238*$F$238)*100,IF(E251/($E$238*$F$238)*100&lt;0.0001,5,IF(E251/($E$238*$F$238)*100&lt;0.001,4,IF(E251/($E$238*$F$238)*100&lt;0.01,3,IF(E251/($E$238*$F$238)*100&lt;0.1,2,IF(E251/($E$238*$F$238)*100&lt;1,1,0)))))))</f>
        <v>#DIV/0!</v>
      </c>
      <c r="G251" s="59" t="str">
        <f aca="false">IF(E251&lt;$D$27,"忽略不计",F251)</f>
        <v>忽略不计</v>
      </c>
      <c r="H251" s="58"/>
      <c r="I251" s="55" t="s">
        <v>75</v>
      </c>
      <c r="J251" s="57" t="e">
        <f aca="false">tranvalue(K251/$K$238,2)</f>
        <v>#DIV/0!</v>
      </c>
      <c r="K251" s="44"/>
      <c r="L251" s="36"/>
      <c r="M251" s="59" t="e">
        <f aca="false">IF(L251="n.a.","n.a.",tranvalue(L251/($L$238*$M$238)*100,IF(L251/($L$238*$M$238)*100&lt;0.0001,5,IF(L251/($L$238*$M$238)*100&lt;0.001,4,IF(L251/($L$238*$M$238)*100&lt;0.01,3,IF(L251/($L$238*$M$238)*100&lt;0.1,2,IF(L251/($L$238*$M$238)*100&lt;1,1,0)))))))</f>
        <v>#DIV/0!</v>
      </c>
      <c r="N251" s="59" t="str">
        <f aca="false">IF(L251&lt;$D$27,"忽略不计",M251)</f>
        <v>忽略不计</v>
      </c>
      <c r="IJ251" s="1"/>
      <c r="IK251" s="1"/>
      <c r="IL251" s="1"/>
    </row>
    <row r="252" customFormat="false" ht="17.15" hidden="false" customHeight="false" outlineLevel="0" collapsed="false">
      <c r="A252" s="58"/>
      <c r="B252" s="55" t="s">
        <v>76</v>
      </c>
      <c r="C252" s="57" t="e">
        <f aca="false">tranvalue(D253/$D$238,2)</f>
        <v>#DIV/0!</v>
      </c>
      <c r="D252" s="44"/>
      <c r="E252" s="36"/>
      <c r="F252" s="59" t="e">
        <f aca="false">IF(E252="n.a.","n.a.",tranvalue(E252/($E$238*$F$238)*100,IF(E252/($E$238*$F$238)*100&lt;0.0001,5,IF(E252/($E$238*$F$238)*100&lt;0.001,4,IF(E252/($E$238*$F$238)*100&lt;0.01,3,IF(E252/($E$238*$F$238)*100&lt;0.1,2,IF(E252/($E$238*$F$238)*100&lt;1,1,0)))))))</f>
        <v>#DIV/0!</v>
      </c>
      <c r="G252" s="59" t="str">
        <f aca="false">IF(E252&lt;$D$27,"忽略不计",F252)</f>
        <v>忽略不计</v>
      </c>
      <c r="H252" s="58"/>
      <c r="I252" s="55" t="s">
        <v>76</v>
      </c>
      <c r="J252" s="57" t="e">
        <f aca="false">tranvalue(K252/$K$238,2)</f>
        <v>#DIV/0!</v>
      </c>
      <c r="K252" s="44"/>
      <c r="L252" s="36"/>
      <c r="M252" s="59" t="e">
        <f aca="false">IF(L252="n.a.","n.a.",tranvalue(L252/($L$238*$M$238)*100,IF(L252/($L$238*$M$238)*100&lt;0.0001,5,IF(L252/($L$238*$M$238)*100&lt;0.001,4,IF(L252/($L$238*$M$238)*100&lt;0.01,3,IF(L252/($L$238*$M$238)*100&lt;0.1,2,IF(L252/($L$238*$M$238)*100&lt;1,1,0)))))))</f>
        <v>#DIV/0!</v>
      </c>
      <c r="N252" s="59" t="str">
        <f aca="false">IF(L252&lt;$D$27,"忽略不计",M252)</f>
        <v>忽略不计</v>
      </c>
      <c r="IJ252" s="1"/>
      <c r="IK252" s="1"/>
      <c r="IL252" s="1"/>
    </row>
    <row r="253" customFormat="false" ht="17.15" hidden="false" customHeight="false" outlineLevel="0" collapsed="false">
      <c r="A253" s="58"/>
      <c r="B253" s="55" t="s">
        <v>77</v>
      </c>
      <c r="C253" s="57" t="e">
        <f aca="false">tranvalue(D254/$D$238,2)</f>
        <v>#DIV/0!</v>
      </c>
      <c r="D253" s="44"/>
      <c r="E253" s="36"/>
      <c r="F253" s="59" t="e">
        <f aca="false">IF(E253="n.a.","n.a.",tranvalue(E253/($E$238*$F$238)*100,IF(E253/($E$238*$F$238)*100&lt;0.0001,5,IF(E253/($E$238*$F$238)*100&lt;0.001,4,IF(E253/($E$238*$F$238)*100&lt;0.01,3,IF(E253/($E$238*$F$238)*100&lt;0.1,2,IF(E253/($E$238*$F$238)*100&lt;1,1,0)))))))</f>
        <v>#DIV/0!</v>
      </c>
      <c r="G253" s="59" t="str">
        <f aca="false">IF(E253&lt;$D$27,"忽略不计",F253)</f>
        <v>忽略不计</v>
      </c>
      <c r="H253" s="58"/>
      <c r="I253" s="55" t="s">
        <v>77</v>
      </c>
      <c r="J253" s="57" t="e">
        <f aca="false">tranvalue(K253/$K$238,2)</f>
        <v>#DIV/0!</v>
      </c>
      <c r="K253" s="44"/>
      <c r="L253" s="36"/>
      <c r="M253" s="59" t="e">
        <f aca="false">IF(L253="n.a.","n.a.",tranvalue(L253/($L$238*$M$238)*100,IF(L253/($L$238*$M$238)*100&lt;0.0001,5,IF(L253/($L$238*$M$238)*100&lt;0.001,4,IF(L253/($L$238*$M$238)*100&lt;0.01,3,IF(L253/($L$238*$M$238)*100&lt;0.1,2,IF(L253/($L$238*$M$238)*100&lt;1,1,0)))))))</f>
        <v>#DIV/0!</v>
      </c>
      <c r="N253" s="59" t="str">
        <f aca="false">IF(L253&lt;$D$27,"忽略不计",M253)</f>
        <v>忽略不计</v>
      </c>
      <c r="IJ253" s="1"/>
      <c r="IK253" s="1"/>
      <c r="IL253" s="1"/>
    </row>
    <row r="254" customFormat="false" ht="17.15" hidden="false" customHeight="false" outlineLevel="0" collapsed="false">
      <c r="A254" s="58"/>
      <c r="B254" s="55" t="s">
        <v>78</v>
      </c>
      <c r="C254" s="57" t="e">
        <f aca="false">tranvalue(D255/$D$238,2)</f>
        <v>#DIV/0!</v>
      </c>
      <c r="D254" s="44"/>
      <c r="E254" s="36"/>
      <c r="F254" s="59" t="e">
        <f aca="false">IF(E254="n.a.","n.a.",tranvalue(E254/($E$238*$F$238)*100,IF(E254/($E$238*$F$238)*100&lt;0.0001,5,IF(E254/($E$238*$F$238)*100&lt;0.001,4,IF(E254/($E$238*$F$238)*100&lt;0.01,3,IF(E254/($E$238*$F$238)*100&lt;0.1,2,IF(E254/($E$238*$F$238)*100&lt;1,1,0)))))))</f>
        <v>#DIV/0!</v>
      </c>
      <c r="G254" s="59" t="str">
        <f aca="false">IF(E254&lt;$D$27,"忽略不计",F254)</f>
        <v>忽略不计</v>
      </c>
      <c r="H254" s="58"/>
      <c r="I254" s="55" t="s">
        <v>78</v>
      </c>
      <c r="J254" s="57" t="e">
        <f aca="false">tranvalue(K254/$K$238,2)</f>
        <v>#DIV/0!</v>
      </c>
      <c r="K254" s="44"/>
      <c r="L254" s="36"/>
      <c r="M254" s="59" t="e">
        <f aca="false">IF(L254="n.a.","n.a.",tranvalue(L254/($L$238*$M$238)*100,IF(L254/($L$238*$M$238)*100&lt;0.0001,5,IF(L254/($L$238*$M$238)*100&lt;0.001,4,IF(L254/($L$238*$M$238)*100&lt;0.01,3,IF(L254/($L$238*$M$238)*100&lt;0.1,2,IF(L254/($L$238*$M$238)*100&lt;1,1,0)))))))</f>
        <v>#DIV/0!</v>
      </c>
      <c r="N254" s="59" t="str">
        <f aca="false">IF(L254&lt;$D$27,"忽略不计",M254)</f>
        <v>忽略不计</v>
      </c>
      <c r="IJ254" s="1"/>
      <c r="IK254" s="1"/>
      <c r="IL254" s="1"/>
    </row>
    <row r="255" customFormat="false" ht="17.15" hidden="false" customHeight="false" outlineLevel="0" collapsed="false">
      <c r="A255" s="58"/>
      <c r="B255" s="55" t="s">
        <v>79</v>
      </c>
      <c r="C255" s="57" t="e">
        <f aca="false">tranvalue(D256/$D$238,2)</f>
        <v>#DIV/0!</v>
      </c>
      <c r="D255" s="44"/>
      <c r="E255" s="36"/>
      <c r="F255" s="59" t="e">
        <f aca="false">IF(E255="n.a.","n.a.",tranvalue(E255/($E$238*$F$238)*100,IF(E255/($E$238*$F$238)*100&lt;0.0001,5,IF(E255/($E$238*$F$238)*100&lt;0.001,4,IF(E255/($E$238*$F$238)*100&lt;0.01,3,IF(E255/($E$238*$F$238)*100&lt;0.1,2,IF(E255/($E$238*$F$238)*100&lt;1,1,0)))))))</f>
        <v>#DIV/0!</v>
      </c>
      <c r="G255" s="59" t="str">
        <f aca="false">IF(E255&lt;$D$27,"忽略不计",F255)</f>
        <v>忽略不计</v>
      </c>
      <c r="H255" s="58"/>
      <c r="I255" s="55" t="s">
        <v>79</v>
      </c>
      <c r="J255" s="57" t="e">
        <f aca="false">tranvalue(K255/$K$238,2)</f>
        <v>#DIV/0!</v>
      </c>
      <c r="K255" s="44"/>
      <c r="L255" s="36"/>
      <c r="M255" s="59" t="e">
        <f aca="false">IF(L255="n.a.","n.a.",tranvalue(L255/($L$238*$M$238)*100,IF(L255/($L$238*$M$238)*100&lt;0.0001,5,IF(L255/($L$238*$M$238)*100&lt;0.001,4,IF(L255/($L$238*$M$238)*100&lt;0.01,3,IF(L255/($L$238*$M$238)*100&lt;0.1,2,IF(L255/($L$238*$M$238)*100&lt;1,1,0)))))))</f>
        <v>#DIV/0!</v>
      </c>
      <c r="N255" s="59" t="str">
        <f aca="false">IF(L255&lt;$D$27,"忽略不计",M255)</f>
        <v>忽略不计</v>
      </c>
      <c r="IJ255" s="1"/>
      <c r="IK255" s="1"/>
      <c r="IL255" s="1"/>
    </row>
    <row r="256" customFormat="false" ht="17.15" hidden="false" customHeight="false" outlineLevel="0" collapsed="false">
      <c r="A256" s="58"/>
      <c r="B256" s="55" t="s">
        <v>80</v>
      </c>
      <c r="C256" s="57" t="e">
        <f aca="false">tranvalue(D257/$D$238,2)</f>
        <v>#DIV/0!</v>
      </c>
      <c r="D256" s="44"/>
      <c r="E256" s="36"/>
      <c r="F256" s="59" t="e">
        <f aca="false">IF(E256="n.a.","n.a.",tranvalue(E256/($E$238*$F$238)*100,IF(E256/($E$238*$F$238)*100&lt;0.0001,5,IF(E256/($E$238*$F$238)*100&lt;0.001,4,IF(E256/($E$238*$F$238)*100&lt;0.01,3,IF(E256/($E$238*$F$238)*100&lt;0.1,2,IF(E256/($E$238*$F$238)*100&lt;1,1,0)))))))</f>
        <v>#DIV/0!</v>
      </c>
      <c r="G256" s="59" t="str">
        <f aca="false">IF(E256&lt;$D$27,"忽略不计",F256)</f>
        <v>忽略不计</v>
      </c>
      <c r="H256" s="58"/>
      <c r="I256" s="55" t="s">
        <v>80</v>
      </c>
      <c r="J256" s="57" t="e">
        <f aca="false">tranvalue(K256/$K$238,2)</f>
        <v>#DIV/0!</v>
      </c>
      <c r="K256" s="44"/>
      <c r="L256" s="36"/>
      <c r="M256" s="59" t="e">
        <f aca="false">IF(L256="n.a.","n.a.",tranvalue(L256/($L$238*$M$238)*100,IF(L256/($L$238*$M$238)*100&lt;0.0001,5,IF(L256/($L$238*$M$238)*100&lt;0.001,4,IF(L256/($L$238*$M$238)*100&lt;0.01,3,IF(L256/($L$238*$M$238)*100&lt;0.1,2,IF(L256/($L$238*$M$238)*100&lt;1,1,0)))))))</f>
        <v>#DIV/0!</v>
      </c>
      <c r="N256" s="59" t="str">
        <f aca="false">IF(L256&lt;$D$27,"忽略不计",M256)</f>
        <v>忽略不计</v>
      </c>
      <c r="IJ256" s="1"/>
      <c r="IK256" s="1"/>
      <c r="IL256" s="1"/>
    </row>
    <row r="257" customFormat="false" ht="17.15" hidden="false" customHeight="false" outlineLevel="0" collapsed="false">
      <c r="A257" s="58"/>
      <c r="B257" s="55" t="s">
        <v>81</v>
      </c>
      <c r="C257" s="57" t="e">
        <f aca="false">tranvalue(D258/$D$238,2)</f>
        <v>#DIV/0!</v>
      </c>
      <c r="D257" s="44"/>
      <c r="E257" s="36"/>
      <c r="F257" s="59" t="e">
        <f aca="false">IF(E257="n.a.","n.a.",tranvalue(E257/($E$238*$F$238)*100,IF(E257/($E$238*$F$238)*100&lt;0.0001,5,IF(E257/($E$238*$F$238)*100&lt;0.001,4,IF(E257/($E$238*$F$238)*100&lt;0.01,3,IF(E257/($E$238*$F$238)*100&lt;0.1,2,IF(E257/($E$238*$F$238)*100&lt;1,1,0)))))))</f>
        <v>#DIV/0!</v>
      </c>
      <c r="G257" s="59" t="str">
        <f aca="false">IF(E257&lt;$D$27,"忽略不计",F257)</f>
        <v>忽略不计</v>
      </c>
      <c r="H257" s="58"/>
      <c r="I257" s="55" t="s">
        <v>81</v>
      </c>
      <c r="J257" s="57" t="e">
        <f aca="false">tranvalue(K257/$K$238,2)</f>
        <v>#DIV/0!</v>
      </c>
      <c r="K257" s="44"/>
      <c r="L257" s="36"/>
      <c r="M257" s="59" t="e">
        <f aca="false">IF(L257="n.a.","n.a.",tranvalue(L257/($L$238*$M$238)*100,IF(L257/($L$238*$M$238)*100&lt;0.0001,5,IF(L257/($L$238*$M$238)*100&lt;0.001,4,IF(L257/($L$238*$M$238)*100&lt;0.01,3,IF(L257/($L$238*$M$238)*100&lt;0.1,2,IF(L257/($L$238*$M$238)*100&lt;1,1,0)))))))</f>
        <v>#DIV/0!</v>
      </c>
      <c r="N257" s="59" t="str">
        <f aca="false">IF(L257&lt;$D$27,"忽略不计",M257)</f>
        <v>忽略不计</v>
      </c>
      <c r="IJ257" s="1"/>
      <c r="IK257" s="1"/>
      <c r="IL257" s="1"/>
    </row>
    <row r="258" customFormat="false" ht="17.15" hidden="false" customHeight="false" outlineLevel="0" collapsed="false">
      <c r="A258" s="58"/>
      <c r="B258" s="55" t="s">
        <v>82</v>
      </c>
      <c r="C258" s="57" t="e">
        <f aca="false">tranvalue(D259/$D$238,2)</f>
        <v>#DIV/0!</v>
      </c>
      <c r="D258" s="44"/>
      <c r="E258" s="36"/>
      <c r="F258" s="59" t="e">
        <f aca="false">IF(E258="n.a.","n.a.",tranvalue(E258/($E$238*$F$238)*100,IF(E258/($E$238*$F$238)*100&lt;0.0001,5,IF(E258/($E$238*$F$238)*100&lt;0.001,4,IF(E258/($E$238*$F$238)*100&lt;0.01,3,IF(E258/($E$238*$F$238)*100&lt;0.1,2,IF(E258/($E$238*$F$238)*100&lt;1,1,0)))))))</f>
        <v>#DIV/0!</v>
      </c>
      <c r="G258" s="59" t="str">
        <f aca="false">IF(E258&lt;$D$27,"忽略不计",F258)</f>
        <v>忽略不计</v>
      </c>
      <c r="H258" s="58"/>
      <c r="I258" s="55" t="s">
        <v>82</v>
      </c>
      <c r="J258" s="57" t="e">
        <f aca="false">tranvalue(K258/$K$238,2)</f>
        <v>#DIV/0!</v>
      </c>
      <c r="K258" s="44"/>
      <c r="L258" s="36"/>
      <c r="M258" s="59" t="e">
        <f aca="false">IF(L258="n.a.","n.a.",tranvalue(L258/($L$238*$M$238)*100,IF(L258/($L$238*$M$238)*100&lt;0.0001,5,IF(L258/($L$238*$M$238)*100&lt;0.001,4,IF(L258/($L$238*$M$238)*100&lt;0.01,3,IF(L258/($L$238*$M$238)*100&lt;0.1,2,IF(L258/($L$238*$M$238)*100&lt;1,1,0)))))))</f>
        <v>#DIV/0!</v>
      </c>
      <c r="N258" s="59" t="str">
        <f aca="false">IF(L258&lt;$D$27,"忽略不计",M258)</f>
        <v>忽略不计</v>
      </c>
      <c r="IJ258" s="1"/>
      <c r="IK258" s="1"/>
      <c r="IL258" s="1"/>
    </row>
    <row r="259" customFormat="false" ht="17.15" hidden="false" customHeight="false" outlineLevel="0" collapsed="false">
      <c r="A259" s="58"/>
      <c r="B259" s="55" t="s">
        <v>83</v>
      </c>
      <c r="C259" s="0"/>
      <c r="D259" s="44"/>
      <c r="E259" s="36"/>
      <c r="F259" s="59" t="e">
        <f aca="false">IF(E259="n.a.","n.a.",tranvalue(E259/($E$238*$F$238)*100,IF(E259/($E$238*$F$238)*100&lt;0.0001,5,IF(E259/($E$238*$F$238)*100&lt;0.001,4,IF(E259/($E$238*$F$238)*100&lt;0.01,3,IF(E259/($E$238*$F$238)*100&lt;0.1,2,IF(E259/($E$238*$F$238)*100&lt;1,1,0)))))))</f>
        <v>#DIV/0!</v>
      </c>
      <c r="G259" s="59" t="str">
        <f aca="false">IF(E259&lt;$D$27,"忽略不计",F259)</f>
        <v>忽略不计</v>
      </c>
      <c r="H259" s="58"/>
      <c r="I259" s="55" t="s">
        <v>83</v>
      </c>
      <c r="J259" s="57" t="e">
        <f aca="false">tranvalue(K259/$K$238,2)</f>
        <v>#DIV/0!</v>
      </c>
      <c r="K259" s="44"/>
      <c r="L259" s="36"/>
      <c r="M259" s="59" t="e">
        <f aca="false">IF(L259="n.a.","n.a.",tranvalue(L259/($L$238*$M$238)*100,IF(L259/($L$238*$M$238)*100&lt;0.0001,5,IF(L259/($L$238*$M$238)*100&lt;0.001,4,IF(L259/($L$238*$M$238)*100&lt;0.01,3,IF(L259/($L$238*$M$238)*100&lt;0.1,2,IF(L259/($L$238*$M$238)*100&lt;1,1,0)))))))</f>
        <v>#DIV/0!</v>
      </c>
      <c r="N259" s="59" t="str">
        <f aca="false">IF(L259&lt;$D$27,"忽略不计",M259)</f>
        <v>忽略不计</v>
      </c>
      <c r="IJ259" s="1"/>
      <c r="IK259" s="1"/>
      <c r="IL259" s="1"/>
    </row>
    <row r="260" customFormat="false" ht="17.15" hidden="false" customHeight="false" outlineLevel="0" collapsed="false">
      <c r="A260" s="58"/>
      <c r="B260" s="55" t="s">
        <v>84</v>
      </c>
      <c r="C260" s="57" t="e">
        <f aca="false">tranvalue(D260/$D$238,2)</f>
        <v>#DIV/0!</v>
      </c>
      <c r="D260" s="60"/>
      <c r="E260" s="62"/>
      <c r="F260" s="59" t="e">
        <f aca="false">IF(E260="n.a.","n.a.",tranvalue(E260/($E$238*$F$238)*100,IF(E260/($E$238*$F$238)*100&lt;0.0001,5,IF(E260/($E$238*$F$238)*100&lt;0.001,4,IF(E260/($E$238*$F$238)*100&lt;0.01,3,IF(E260/($E$238*$F$238)*100&lt;0.1,2,IF(E260/($E$238*$F$238)*100&lt;1,1,0)))))))</f>
        <v>#DIV/0!</v>
      </c>
      <c r="G260" s="59" t="str">
        <f aca="false">IF(E260&lt;$D$27,"忽略不计",F260)</f>
        <v>忽略不计</v>
      </c>
      <c r="H260" s="58"/>
      <c r="I260" s="55" t="s">
        <v>84</v>
      </c>
      <c r="J260" s="57" t="e">
        <f aca="false">tranvalue(K260/$K$238,2)</f>
        <v>#DIV/0!</v>
      </c>
      <c r="K260" s="60"/>
      <c r="L260" s="62"/>
      <c r="M260" s="59" t="e">
        <f aca="false">IF(L260="n.a.","n.a.",tranvalue(L260/($L$238*$M$238)*100,IF(L260/($L$238*$M$238)*100&lt;0.0001,5,IF(L260/($L$238*$M$238)*100&lt;0.001,4,IF(L260/($L$238*$M$238)*100&lt;0.01,3,IF(L260/($L$238*$M$238)*100&lt;0.1,2,IF(L260/($L$238*$M$238)*100&lt;1,1,0)))))))</f>
        <v>#DIV/0!</v>
      </c>
      <c r="N260" s="59" t="str">
        <f aca="false">IF(L260&lt;$D$27,"忽略不计",M260)</f>
        <v>忽略不计</v>
      </c>
      <c r="IJ260" s="1"/>
      <c r="IK260" s="1"/>
      <c r="IL260" s="1"/>
    </row>
    <row r="261" customFormat="false" ht="29.1" hidden="false" customHeight="true" outlineLevel="0" collapsed="false">
      <c r="A261" s="55" t="s">
        <v>85</v>
      </c>
      <c r="B261" s="56" t="s">
        <v>86</v>
      </c>
      <c r="C261" s="56"/>
      <c r="D261" s="56"/>
      <c r="E261" s="56"/>
      <c r="F261" s="63" t="e">
        <f aca="false">MAX(F241:F260)</f>
        <v>#DIV/0!</v>
      </c>
      <c r="G261" s="59" t="str">
        <f aca="false">IF(MAX(E241:E260)&lt;$D$27,"忽略不计",F261)</f>
        <v>忽略不计</v>
      </c>
      <c r="H261" s="55" t="s">
        <v>85</v>
      </c>
      <c r="I261" s="56" t="s">
        <v>86</v>
      </c>
      <c r="J261" s="56"/>
      <c r="K261" s="56"/>
      <c r="L261" s="56"/>
      <c r="M261" s="63" t="e">
        <f aca="false">MAX(M241:M260)</f>
        <v>#DIV/0!</v>
      </c>
      <c r="N261" s="59" t="str">
        <f aca="false">IF(MAX(L241:L260)&lt;$D$27,"忽略不计",M261)</f>
        <v>忽略不计</v>
      </c>
      <c r="IJ261" s="1"/>
    </row>
    <row r="262" customFormat="false" ht="17.15" hidden="false" customHeight="true" outlineLevel="0" collapsed="false">
      <c r="A262" s="55"/>
      <c r="B262" s="56" t="s">
        <v>87</v>
      </c>
      <c r="C262" s="56"/>
      <c r="D262" s="56"/>
      <c r="E262" s="56"/>
      <c r="F262" s="63" t="e">
        <f aca="false">IF(SUM(F240:F260)=0,0,tranvalue(SUM(F240:F260),IF(SUM(F240:F260)&lt;0.0001,6,IF(SUM(F240:F260)&lt;0.001,5,IF(SUM(F240:F260)&lt;0.01,4,IF(SUM(F240:F260)&lt;0.1,3,IF(SUM(F240:F260)&lt;1,2,1)))))))</f>
        <v>#DIV/0!</v>
      </c>
      <c r="G262" s="63"/>
      <c r="H262" s="55"/>
      <c r="I262" s="56" t="s">
        <v>87</v>
      </c>
      <c r="J262" s="56"/>
      <c r="K262" s="56"/>
      <c r="L262" s="56"/>
      <c r="M262" s="63" t="e">
        <f aca="false">IF(SUM(M240:M260)=0,0,tranvalue(SUM(M240:M260),IF(SUM(M240:M260)&lt;0.0001,6,IF(SUM(M240:M260)&lt;0.001,5,IF(SUM(M240:M260)&lt;0.01,4,IF(SUM(M240:M260)&lt;0.1,3,IF(SUM(M240:M260)&lt;1,2,1)))))))</f>
        <v>#DIV/0!</v>
      </c>
      <c r="N262" s="63"/>
      <c r="IJ262" s="1"/>
    </row>
    <row r="263" customFormat="false" ht="17.15" hidden="false" customHeight="true" outlineLevel="0" collapsed="false">
      <c r="A263" s="55"/>
      <c r="B263" s="56" t="s">
        <v>88</v>
      </c>
      <c r="C263" s="56"/>
      <c r="D263" s="56"/>
      <c r="E263" s="56"/>
      <c r="F263" s="63" t="str">
        <f aca="false">IF(SUM(G240:G260)=0,"0",tranvalue(SUM(G240:G260),IF(SUM(G240:G260)&lt;0.0001,6,IF(SUM(G240:G260)&lt;0.001,5,IF(SUM(G240:G260)&lt;0.01,4,IF(SUM(G240:G260)&lt;0.1,3,IF(SUM(G240:G260)&lt;1,2,1)))))))</f>
        <v>0</v>
      </c>
      <c r="G263" s="63"/>
      <c r="H263" s="55"/>
      <c r="I263" s="56" t="s">
        <v>88</v>
      </c>
      <c r="J263" s="56"/>
      <c r="K263" s="56"/>
      <c r="L263" s="56"/>
      <c r="M263" s="63" t="str">
        <f aca="false">IF(SUM(N240:N260)=0,"0",tranvalue(SUM(N240:N260),IF(SUM(N240:N260)&lt;0.0001,6,IF(SUM(N240:N260)&lt;0.001,5,IF(SUM(N240:N260)&lt;0.01,4,IF(SUM(N240:N260)&lt;0.1,3,IF(SUM(N240:N260)&lt;1,2,1)))))))</f>
        <v>0</v>
      </c>
      <c r="N263" s="63"/>
      <c r="IJ263" s="1"/>
    </row>
    <row r="264" customFormat="false" ht="13.8" hidden="false" customHeight="false" outlineLevel="0" collapsed="false">
      <c r="IJ264" s="1"/>
    </row>
    <row r="265" customFormat="false" ht="14.25" hidden="false" customHeight="true" outlineLevel="0" collapsed="false">
      <c r="B265" s="1" t="s">
        <v>89</v>
      </c>
      <c r="F265" s="64"/>
      <c r="IJ265" s="1"/>
    </row>
    <row r="266" customFormat="false" ht="13.8" hidden="false" customHeight="false" outlineLevel="0" collapsed="false">
      <c r="IJ266" s="1"/>
    </row>
    <row r="267" customFormat="false" ht="13.8" hidden="false" customHeight="false" outlineLevel="0" collapsed="false">
      <c r="IJ267" s="1"/>
    </row>
    <row r="268" customFormat="false" ht="13.8" hidden="false" customHeight="false" outlineLevel="0" collapsed="false">
      <c r="IJ268" s="1"/>
    </row>
    <row r="269" customFormat="false" ht="13.8" hidden="false" customHeight="false" outlineLevel="0" collapsed="false">
      <c r="IJ269" s="1"/>
    </row>
    <row r="270" customFormat="false" ht="13.8" hidden="false" customHeight="false" outlineLevel="0" collapsed="false">
      <c r="B270" s="1" t="s">
        <v>90</v>
      </c>
      <c r="IJ270" s="1"/>
    </row>
    <row r="271" customFormat="false" ht="13.8" hidden="false" customHeight="false" outlineLevel="0" collapsed="false">
      <c r="IJ271" s="1"/>
    </row>
    <row r="272" customFormat="false" ht="13.8" hidden="false" customHeight="false" outlineLevel="0" collapsed="false">
      <c r="IJ272" s="1"/>
    </row>
    <row r="273" customFormat="false" ht="13.8" hidden="false" customHeight="false" outlineLevel="0" collapsed="false">
      <c r="IJ273" s="1"/>
    </row>
    <row r="274" customFormat="false" ht="17.15" hidden="false" customHeight="false" outlineLevel="0" collapsed="false">
      <c r="A274" s="1" t="s">
        <v>91</v>
      </c>
      <c r="D274" s="2"/>
      <c r="H274" s="1" t="s">
        <v>92</v>
      </c>
      <c r="IJ274" s="1"/>
    </row>
    <row r="277" customFormat="false" ht="17.15" hidden="false" customHeight="false" outlineLevel="0" collapsed="false">
      <c r="A277" s="42" t="s">
        <v>50</v>
      </c>
      <c r="B277" s="22"/>
      <c r="C277" s="22"/>
      <c r="D277" s="22"/>
      <c r="E277" s="22"/>
      <c r="F277" s="22"/>
      <c r="G277" s="22"/>
      <c r="H277" s="42" t="s">
        <v>50</v>
      </c>
      <c r="I277" s="22"/>
      <c r="J277" s="22"/>
      <c r="K277" s="22"/>
      <c r="L277" s="22"/>
      <c r="M277" s="22"/>
      <c r="N277" s="22"/>
      <c r="IJ277" s="1"/>
    </row>
    <row r="278" customFormat="false" ht="43.5" hidden="false" customHeight="true" outlineLevel="0" collapsed="false">
      <c r="A278" s="52" t="s">
        <v>23</v>
      </c>
      <c r="B278" s="53" t="s">
        <v>53</v>
      </c>
      <c r="C278" s="53" t="s">
        <v>54</v>
      </c>
      <c r="D278" s="43" t="s">
        <v>55</v>
      </c>
      <c r="E278" s="54" t="s">
        <v>48</v>
      </c>
      <c r="F278" s="52" t="s">
        <v>56</v>
      </c>
      <c r="G278" s="52"/>
      <c r="H278" s="52" t="s">
        <v>23</v>
      </c>
      <c r="I278" s="52" t="s">
        <v>53</v>
      </c>
      <c r="J278" s="52" t="s">
        <v>54</v>
      </c>
      <c r="K278" s="43" t="s">
        <v>55</v>
      </c>
      <c r="L278" s="43" t="s">
        <v>48</v>
      </c>
      <c r="M278" s="52" t="s">
        <v>56</v>
      </c>
      <c r="N278" s="52"/>
      <c r="IJ278" s="1"/>
      <c r="IK278" s="1"/>
      <c r="IL278" s="1"/>
    </row>
    <row r="279" customFormat="false" ht="17.15" hidden="false" customHeight="false" outlineLevel="0" collapsed="false">
      <c r="A279" s="55" t="s">
        <v>57</v>
      </c>
      <c r="B279" s="56" t="s">
        <v>58</v>
      </c>
      <c r="C279" s="57" t="e">
        <f aca="false">D279/$D$279</f>
        <v>#DIV/0!</v>
      </c>
      <c r="D279" s="44"/>
      <c r="E279" s="34"/>
      <c r="F279" s="38" t="n">
        <f aca="false">100/0.1</f>
        <v>1000</v>
      </c>
      <c r="G279" s="38"/>
      <c r="H279" s="55" t="s">
        <v>57</v>
      </c>
      <c r="I279" s="56" t="s">
        <v>58</v>
      </c>
      <c r="J279" s="57" t="e">
        <f aca="false">K279/$K$279</f>
        <v>#DIV/0!</v>
      </c>
      <c r="K279" s="44"/>
      <c r="L279" s="34"/>
      <c r="M279" s="38" t="n">
        <f aca="false">100/0.1</f>
        <v>1000</v>
      </c>
      <c r="N279" s="38"/>
      <c r="IJ279" s="1"/>
      <c r="IK279" s="1"/>
      <c r="IL279" s="1"/>
    </row>
    <row r="280" customFormat="false" ht="32.8" hidden="false" customHeight="false" outlineLevel="0" collapsed="false">
      <c r="A280" s="52" t="s">
        <v>23</v>
      </c>
      <c r="B280" s="52" t="s">
        <v>59</v>
      </c>
      <c r="C280" s="53" t="s">
        <v>54</v>
      </c>
      <c r="D280" s="43" t="s">
        <v>55</v>
      </c>
      <c r="E280" s="43" t="s">
        <v>48</v>
      </c>
      <c r="F280" s="52" t="s">
        <v>60</v>
      </c>
      <c r="G280" s="52" t="s">
        <v>61</v>
      </c>
      <c r="H280" s="52" t="s">
        <v>23</v>
      </c>
      <c r="I280" s="52" t="s">
        <v>59</v>
      </c>
      <c r="J280" s="53" t="s">
        <v>54</v>
      </c>
      <c r="K280" s="43" t="s">
        <v>55</v>
      </c>
      <c r="L280" s="43" t="s">
        <v>48</v>
      </c>
      <c r="M280" s="52" t="s">
        <v>60</v>
      </c>
      <c r="N280" s="52" t="s">
        <v>61</v>
      </c>
      <c r="IJ280" s="1"/>
      <c r="IK280" s="1"/>
      <c r="IL280" s="1"/>
    </row>
    <row r="281" customFormat="false" ht="17.15" hidden="false" customHeight="false" outlineLevel="0" collapsed="false">
      <c r="A281" s="58" t="s">
        <v>62</v>
      </c>
      <c r="B281" s="55" t="s">
        <v>63</v>
      </c>
      <c r="C281" s="57" t="e">
        <f aca="false">tranvalue(D281/$D$279,2)</f>
        <v>#DIV/0!</v>
      </c>
      <c r="D281" s="44"/>
      <c r="E281" s="36"/>
      <c r="F281" s="59" t="e">
        <f aca="false">IF(E281="n.a.","n.a.",tranvalue(E281/($E$279*$F$279)*100,IF(E281/($E$279*$F$279)*100&lt;0.0001,5,IF(E281/($E$279*$F$279)*100&lt;0.001,4,IF(E281/($E$279*$F$279)*100&lt;0.01,3,IF(E281/($E$279*$F$279)*100&lt;0.1,2,IF(E281/($E$279*$F$279)*100&lt;1,1,0)))))))</f>
        <v>#DIV/0!</v>
      </c>
      <c r="G281" s="59" t="str">
        <f aca="false">IF(E281&lt;$D$27,"忽略不计",F281)</f>
        <v>忽略不计</v>
      </c>
      <c r="H281" s="58" t="s">
        <v>62</v>
      </c>
      <c r="I281" s="55" t="s">
        <v>63</v>
      </c>
      <c r="J281" s="57" t="e">
        <f aca="false">tranvalue(K281/$K$279,2)</f>
        <v>#DIV/0!</v>
      </c>
      <c r="K281" s="44"/>
      <c r="L281" s="34"/>
      <c r="M281" s="59" t="e">
        <f aca="false">IF(L281="n.a.","n.a.",tranvalue(L281/($L$279*$M$279)*100,IF(L281/($L$279*$M$279)*100&lt;0.0001,5,IF(L281/($L$279*$M$279)*100&lt;0.001,4,IF(L281/($L$279*$M$279)*100&lt;0.01,3,IF(L281/($L$279*$M$279)*100&lt;0.1,2,IF(L281/($L$279*$M$279)*100&lt;1,1,0)))))))</f>
        <v>#DIV/0!</v>
      </c>
      <c r="N281" s="59" t="str">
        <f aca="false">IF(L281&lt;$D$27,"忽略不计",M281)</f>
        <v>忽略不计</v>
      </c>
      <c r="IJ281" s="1"/>
      <c r="IK281" s="1"/>
      <c r="IL281" s="1"/>
    </row>
    <row r="282" customFormat="false" ht="17.15" hidden="false" customHeight="true" outlineLevel="0" collapsed="false">
      <c r="A282" s="58" t="s">
        <v>64</v>
      </c>
      <c r="B282" s="55" t="s">
        <v>65</v>
      </c>
      <c r="C282" s="57" t="e">
        <f aca="false">tranvalue(D282/$D$279,2)</f>
        <v>#DIV/0!</v>
      </c>
      <c r="D282" s="44"/>
      <c r="E282" s="36"/>
      <c r="F282" s="59" t="e">
        <f aca="false">IF(E282="n.a.","n.a.",tranvalue(E282/($E$279*$F$279)*100,IF(E282/($E$279*$F$279)*100&lt;0.0001,5,IF(E282/($E$279*$F$279)*100&lt;0.001,4,IF(E282/($E$279*$F$279)*100&lt;0.01,3,IF(E282/($E$279*$F$279)*100&lt;0.1,2,IF(E282/($E$279*$F$279)*100&lt;1,1,0)))))))</f>
        <v>#DIV/0!</v>
      </c>
      <c r="G282" s="59" t="str">
        <f aca="false">IF(E282&lt;$D$27,"忽略不计",F282)</f>
        <v>忽略不计</v>
      </c>
      <c r="H282" s="58" t="s">
        <v>64</v>
      </c>
      <c r="I282" s="55" t="s">
        <v>65</v>
      </c>
      <c r="J282" s="57" t="e">
        <f aca="false">tranvalue(K282/$K$279,2)</f>
        <v>#DIV/0!</v>
      </c>
      <c r="K282" s="44"/>
      <c r="L282" s="34"/>
      <c r="M282" s="59" t="e">
        <f aca="false">IF(L282="n.a.","n.a.",tranvalue(L282/($L$279*$M$279)*100,IF(L282/($L$279*$M$279)*100&lt;0.0001,5,IF(L282/($L$279*$M$279)*100&lt;0.001,4,IF(L282/($L$279*$M$279)*100&lt;0.01,3,IF(L282/($L$279*$M$279)*100&lt;0.1,2,IF(L282/($L$279*$M$279)*100&lt;1,1,0)))))))</f>
        <v>#DIV/0!</v>
      </c>
      <c r="N282" s="59" t="str">
        <f aca="false">IF(L282&lt;$D$27,"忽略不计",M282)</f>
        <v>忽略不计</v>
      </c>
      <c r="IJ282" s="1"/>
      <c r="IK282" s="1"/>
      <c r="IL282" s="1"/>
    </row>
    <row r="283" customFormat="false" ht="17.15" hidden="false" customHeight="false" outlineLevel="0" collapsed="false">
      <c r="A283" s="58"/>
      <c r="B283" s="55" t="s">
        <v>66</v>
      </c>
      <c r="C283" s="57" t="e">
        <f aca="false">tranvalue(D283/$D$279,2)</f>
        <v>#DIV/0!</v>
      </c>
      <c r="D283" s="44"/>
      <c r="E283" s="36"/>
      <c r="F283" s="59" t="e">
        <f aca="false">IF(E283="n.a.","n.a.",tranvalue(E283/($E$279*$F$279)*100,IF(E283/($E$279*$F$279)*100&lt;0.0001,5,IF(E283/($E$279*$F$279)*100&lt;0.001,4,IF(E283/($E$279*$F$279)*100&lt;0.01,3,IF(E283/($E$279*$F$279)*100&lt;0.1,2,IF(E283/($E$279*$F$279)*100&lt;1,1,0)))))))</f>
        <v>#DIV/0!</v>
      </c>
      <c r="G283" s="59" t="str">
        <f aca="false">IF(E283&lt;$D$27,"忽略不计",F283)</f>
        <v>忽略不计</v>
      </c>
      <c r="H283" s="58"/>
      <c r="I283" s="55" t="s">
        <v>66</v>
      </c>
      <c r="J283" s="57" t="e">
        <f aca="false">tranvalue(K283/$K$279,2)</f>
        <v>#DIV/0!</v>
      </c>
      <c r="K283" s="44"/>
      <c r="L283" s="34"/>
      <c r="M283" s="59" t="e">
        <f aca="false">IF(L283="n.a.","n.a.",tranvalue(L283/($L$279*$M$279)*100,IF(L283/($L$279*$M$279)*100&lt;0.0001,5,IF(L283/($L$279*$M$279)*100&lt;0.001,4,IF(L283/($L$279*$M$279)*100&lt;0.01,3,IF(L283/($L$279*$M$279)*100&lt;0.1,2,IF(L283/($L$279*$M$279)*100&lt;1,1,0)))))))</f>
        <v>#DIV/0!</v>
      </c>
      <c r="N283" s="59" t="str">
        <f aca="false">IF(L283&lt;$D$27,"忽略不计",M283)</f>
        <v>忽略不计</v>
      </c>
      <c r="IJ283" s="1"/>
      <c r="IK283" s="1"/>
      <c r="IL283" s="1"/>
    </row>
    <row r="284" customFormat="false" ht="17.15" hidden="false" customHeight="false" outlineLevel="0" collapsed="false">
      <c r="A284" s="58"/>
      <c r="B284" s="55" t="s">
        <v>67</v>
      </c>
      <c r="C284" s="57" t="e">
        <f aca="false">tranvalue(D284/$D$279,2)</f>
        <v>#DIV/0!</v>
      </c>
      <c r="D284" s="44"/>
      <c r="E284" s="36"/>
      <c r="F284" s="59" t="e">
        <f aca="false">IF(E284="n.a.","n.a.",tranvalue(E284/($E$279*$F$279)*100,IF(E284/($E$279*$F$279)*100&lt;0.0001,5,IF(E284/($E$279*$F$279)*100&lt;0.001,4,IF(E284/($E$279*$F$279)*100&lt;0.01,3,IF(E284/($E$279*$F$279)*100&lt;0.1,2,IF(E284/($E$279*$F$279)*100&lt;1,1,0)))))))</f>
        <v>#DIV/0!</v>
      </c>
      <c r="G284" s="59" t="str">
        <f aca="false">IF(E284&lt;$D$27,"忽略不计",F284)</f>
        <v>忽略不计</v>
      </c>
      <c r="H284" s="58"/>
      <c r="I284" s="55" t="s">
        <v>67</v>
      </c>
      <c r="J284" s="57" t="e">
        <f aca="false">tranvalue(K284/$K$279,2)</f>
        <v>#DIV/0!</v>
      </c>
      <c r="K284" s="44"/>
      <c r="L284" s="34"/>
      <c r="M284" s="59" t="e">
        <f aca="false">IF(L284="n.a.","n.a.",tranvalue(L284/($L$279*$M$279)*100,IF(L284/($L$279*$M$279)*100&lt;0.0001,5,IF(L284/($L$279*$M$279)*100&lt;0.001,4,IF(L284/($L$279*$M$279)*100&lt;0.01,3,IF(L284/($L$279*$M$279)*100&lt;0.1,2,IF(L284/($L$279*$M$279)*100&lt;1,1,0)))))))</f>
        <v>#DIV/0!</v>
      </c>
      <c r="N284" s="59" t="str">
        <f aca="false">IF(L284&lt;$D$27,"忽略不计",M284)</f>
        <v>忽略不计</v>
      </c>
      <c r="IJ284" s="1"/>
      <c r="IK284" s="1"/>
      <c r="IL284" s="1"/>
    </row>
    <row r="285" customFormat="false" ht="17.15" hidden="false" customHeight="false" outlineLevel="0" collapsed="false">
      <c r="A285" s="58"/>
      <c r="B285" s="55" t="s">
        <v>68</v>
      </c>
      <c r="C285" s="57" t="e">
        <f aca="false">tranvalue(D285/$D$279,2)</f>
        <v>#DIV/0!</v>
      </c>
      <c r="D285" s="44"/>
      <c r="E285" s="36"/>
      <c r="F285" s="59" t="e">
        <f aca="false">IF(E285="n.a.","n.a.",tranvalue(E285/($E$279*$F$279)*100,IF(E285/($E$279*$F$279)*100&lt;0.0001,5,IF(E285/($E$279*$F$279)*100&lt;0.001,4,IF(E285/($E$279*$F$279)*100&lt;0.01,3,IF(E285/($E$279*$F$279)*100&lt;0.1,2,IF(E285/($E$279*$F$279)*100&lt;1,1,0)))))))</f>
        <v>#DIV/0!</v>
      </c>
      <c r="G285" s="59" t="str">
        <f aca="false">IF(E285&lt;$D$27,"忽略不计",F285)</f>
        <v>忽略不计</v>
      </c>
      <c r="H285" s="58"/>
      <c r="I285" s="55" t="s">
        <v>68</v>
      </c>
      <c r="J285" s="57" t="e">
        <f aca="false">tranvalue(K285/$K$279,2)</f>
        <v>#DIV/0!</v>
      </c>
      <c r="K285" s="44"/>
      <c r="L285" s="34"/>
      <c r="M285" s="59" t="e">
        <f aca="false">IF(L285="n.a.","n.a.",tranvalue(L285/($L$279*$M$279)*100,IF(L285/($L$279*$M$279)*100&lt;0.0001,5,IF(L285/($L$279*$M$279)*100&lt;0.001,4,IF(L285/($L$279*$M$279)*100&lt;0.01,3,IF(L285/($L$279*$M$279)*100&lt;0.1,2,IF(L285/($L$279*$M$279)*100&lt;1,1,0)))))))</f>
        <v>#DIV/0!</v>
      </c>
      <c r="N285" s="59" t="str">
        <f aca="false">IF(L285&lt;$D$27,"忽略不计",M285)</f>
        <v>忽略不计</v>
      </c>
      <c r="IJ285" s="1"/>
      <c r="IK285" s="1"/>
      <c r="IL285" s="1"/>
    </row>
    <row r="286" customFormat="false" ht="17.15" hidden="false" customHeight="false" outlineLevel="0" collapsed="false">
      <c r="A286" s="58"/>
      <c r="B286" s="55" t="s">
        <v>69</v>
      </c>
      <c r="C286" s="57" t="e">
        <f aca="false">tranvalue(D286/$D$279,2)</f>
        <v>#DIV/0!</v>
      </c>
      <c r="D286" s="44"/>
      <c r="E286" s="36"/>
      <c r="F286" s="59" t="e">
        <f aca="false">IF(E286="n.a.","n.a.",tranvalue(E286/($E$279*$F$279)*100,IF(E286/($E$279*$F$279)*100&lt;0.0001,5,IF(E286/($E$279*$F$279)*100&lt;0.001,4,IF(E286/($E$279*$F$279)*100&lt;0.01,3,IF(E286/($E$279*$F$279)*100&lt;0.1,2,IF(E286/($E$279*$F$279)*100&lt;1,1,0)))))))</f>
        <v>#DIV/0!</v>
      </c>
      <c r="G286" s="59" t="str">
        <f aca="false">IF(E286&lt;$D$27,"忽略不计",F286)</f>
        <v>忽略不计</v>
      </c>
      <c r="H286" s="58"/>
      <c r="I286" s="55" t="s">
        <v>69</v>
      </c>
      <c r="J286" s="57" t="e">
        <f aca="false">tranvalue(K286/$K$279,2)</f>
        <v>#DIV/0!</v>
      </c>
      <c r="K286" s="44"/>
      <c r="L286" s="34"/>
      <c r="M286" s="59" t="e">
        <f aca="false">IF(L286="n.a.","n.a.",tranvalue(L286/($L$279*$M$279)*100,IF(L286/($L$279*$M$279)*100&lt;0.0001,5,IF(L286/($L$279*$M$279)*100&lt;0.001,4,IF(L286/($L$279*$M$279)*100&lt;0.01,3,IF(L286/($L$279*$M$279)*100&lt;0.1,2,IF(L286/($L$279*$M$279)*100&lt;1,1,0)))))))</f>
        <v>#DIV/0!</v>
      </c>
      <c r="N286" s="59" t="str">
        <f aca="false">IF(L286&lt;$D$27,"忽略不计",M286)</f>
        <v>忽略不计</v>
      </c>
      <c r="IJ286" s="1"/>
      <c r="IK286" s="1"/>
      <c r="IL286" s="1"/>
    </row>
    <row r="287" customFormat="false" ht="17.15" hidden="false" customHeight="false" outlineLevel="0" collapsed="false">
      <c r="A287" s="58"/>
      <c r="B287" s="55" t="s">
        <v>70</v>
      </c>
      <c r="C287" s="57" t="e">
        <f aca="false">tranvalue(D287/$D$279,2)</f>
        <v>#DIV/0!</v>
      </c>
      <c r="D287" s="44"/>
      <c r="E287" s="36"/>
      <c r="F287" s="59" t="e">
        <f aca="false">IF(E287="n.a.","n.a.",tranvalue(E287/($E$279*$F$279)*100,IF(E287/($E$279*$F$279)*100&lt;0.0001,5,IF(E287/($E$279*$F$279)*100&lt;0.001,4,IF(E287/($E$279*$F$279)*100&lt;0.01,3,IF(E287/($E$279*$F$279)*100&lt;0.1,2,IF(E287/($E$279*$F$279)*100&lt;1,1,0)))))))</f>
        <v>#DIV/0!</v>
      </c>
      <c r="G287" s="59" t="str">
        <f aca="false">IF(E287&lt;$D$27,"忽略不计",F287)</f>
        <v>忽略不计</v>
      </c>
      <c r="H287" s="58"/>
      <c r="I287" s="55" t="s">
        <v>70</v>
      </c>
      <c r="J287" s="57" t="e">
        <f aca="false">tranvalue(K287/$K$279,2)</f>
        <v>#DIV/0!</v>
      </c>
      <c r="K287" s="44"/>
      <c r="L287" s="34"/>
      <c r="M287" s="59" t="e">
        <f aca="false">IF(L287="n.a.","n.a.",tranvalue(L287/($L$279*$M$279)*100,IF(L287/($L$279*$M$279)*100&lt;0.0001,5,IF(L287/($L$279*$M$279)*100&lt;0.001,4,IF(L287/($L$279*$M$279)*100&lt;0.01,3,IF(L287/($L$279*$M$279)*100&lt;0.1,2,IF(L287/($L$279*$M$279)*100&lt;1,1,0)))))))</f>
        <v>#DIV/0!</v>
      </c>
      <c r="N287" s="59" t="str">
        <f aca="false">IF(L287&lt;$D$27,"忽略不计",M287)</f>
        <v>忽略不计</v>
      </c>
      <c r="IJ287" s="1"/>
      <c r="IK287" s="1"/>
      <c r="IL287" s="1"/>
    </row>
    <row r="288" customFormat="false" ht="17.15" hidden="false" customHeight="false" outlineLevel="0" collapsed="false">
      <c r="A288" s="58"/>
      <c r="B288" s="55" t="s">
        <v>71</v>
      </c>
      <c r="C288" s="57" t="e">
        <f aca="false">tranvalue(D288/$D$279,2)</f>
        <v>#DIV/0!</v>
      </c>
      <c r="D288" s="44"/>
      <c r="E288" s="36"/>
      <c r="F288" s="59" t="e">
        <f aca="false">IF(E288="n.a.","n.a.",tranvalue(E288/($E$279*$F$279)*100,IF(E288/($E$279*$F$279)*100&lt;0.0001,5,IF(E288/($E$279*$F$279)*100&lt;0.001,4,IF(E288/($E$279*$F$279)*100&lt;0.01,3,IF(E288/($E$279*$F$279)*100&lt;0.1,2,IF(E288/($E$279*$F$279)*100&lt;1,1,0)))))))</f>
        <v>#DIV/0!</v>
      </c>
      <c r="G288" s="59" t="str">
        <f aca="false">IF(E288&lt;$D$27,"忽略不计",F288)</f>
        <v>忽略不计</v>
      </c>
      <c r="H288" s="58"/>
      <c r="I288" s="55" t="s">
        <v>71</v>
      </c>
      <c r="J288" s="57" t="e">
        <f aca="false">tranvalue(K288/$K$279,2)</f>
        <v>#DIV/0!</v>
      </c>
      <c r="K288" s="44"/>
      <c r="L288" s="34"/>
      <c r="M288" s="59" t="e">
        <f aca="false">IF(L288="n.a.","n.a.",tranvalue(L288/($L$279*$M$279)*100,IF(L288/($L$279*$M$279)*100&lt;0.0001,5,IF(L288/($L$279*$M$279)*100&lt;0.001,4,IF(L288/($L$279*$M$279)*100&lt;0.01,3,IF(L288/($L$279*$M$279)*100&lt;0.1,2,IF(L288/($L$279*$M$279)*100&lt;1,1,0)))))))</f>
        <v>#DIV/0!</v>
      </c>
      <c r="N288" s="59" t="str">
        <f aca="false">IF(L288&lt;$D$27,"忽略不计",M288)</f>
        <v>忽略不计</v>
      </c>
      <c r="IJ288" s="1"/>
      <c r="IK288" s="1"/>
      <c r="IL288" s="1"/>
    </row>
    <row r="289" customFormat="false" ht="17.15" hidden="false" customHeight="false" outlineLevel="0" collapsed="false">
      <c r="A289" s="58"/>
      <c r="B289" s="55" t="s">
        <v>72</v>
      </c>
      <c r="C289" s="57" t="e">
        <f aca="false">tranvalue(D289/$D$279,2)</f>
        <v>#DIV/0!</v>
      </c>
      <c r="D289" s="44"/>
      <c r="E289" s="36"/>
      <c r="F289" s="59" t="e">
        <f aca="false">IF(E289="n.a.","n.a.",tranvalue(E289/($E$279*$F$279)*100,IF(E289/($E$279*$F$279)*100&lt;0.0001,5,IF(E289/($E$279*$F$279)*100&lt;0.001,4,IF(E289/($E$279*$F$279)*100&lt;0.01,3,IF(E289/($E$279*$F$279)*100&lt;0.1,2,IF(E289/($E$279*$F$279)*100&lt;1,1,0)))))))</f>
        <v>#DIV/0!</v>
      </c>
      <c r="G289" s="59" t="str">
        <f aca="false">IF(E289&lt;$D$27,"忽略不计",F289)</f>
        <v>忽略不计</v>
      </c>
      <c r="H289" s="58"/>
      <c r="I289" s="55" t="s">
        <v>72</v>
      </c>
      <c r="J289" s="57" t="e">
        <f aca="false">tranvalue(K289/$K$279,2)</f>
        <v>#DIV/0!</v>
      </c>
      <c r="K289" s="44"/>
      <c r="L289" s="34"/>
      <c r="M289" s="59" t="e">
        <f aca="false">IF(L289="n.a.","n.a.",tranvalue(L289/($L$279*$M$279)*100,IF(L289/($L$279*$M$279)*100&lt;0.0001,5,IF(L289/($L$279*$M$279)*100&lt;0.001,4,IF(L289/($L$279*$M$279)*100&lt;0.01,3,IF(L289/($L$279*$M$279)*100&lt;0.1,2,IF(L289/($L$279*$M$279)*100&lt;1,1,0)))))))</f>
        <v>#DIV/0!</v>
      </c>
      <c r="N289" s="59" t="str">
        <f aca="false">IF(L289&lt;$D$27,"忽略不计",M289)</f>
        <v>忽略不计</v>
      </c>
      <c r="IJ289" s="1"/>
      <c r="IK289" s="1"/>
      <c r="IL289" s="1"/>
    </row>
    <row r="290" customFormat="false" ht="17.15" hidden="false" customHeight="false" outlineLevel="0" collapsed="false">
      <c r="A290" s="58"/>
      <c r="B290" s="55" t="s">
        <v>73</v>
      </c>
      <c r="C290" s="57" t="e">
        <f aca="false">tranvalue(D290/$D$279,2)</f>
        <v>#DIV/0!</v>
      </c>
      <c r="D290" s="44"/>
      <c r="E290" s="36"/>
      <c r="F290" s="59" t="e">
        <f aca="false">IF(E290="n.a.","n.a.",tranvalue(E290/($E$279*$F$279)*100,IF(E290/($E$279*$F$279)*100&lt;0.0001,5,IF(E290/($E$279*$F$279)*100&lt;0.001,4,IF(E290/($E$279*$F$279)*100&lt;0.01,3,IF(E290/($E$279*$F$279)*100&lt;0.1,2,IF(E290/($E$279*$F$279)*100&lt;1,1,0)))))))</f>
        <v>#DIV/0!</v>
      </c>
      <c r="G290" s="59" t="str">
        <f aca="false">IF(E290&lt;$D$27,"忽略不计",F290)</f>
        <v>忽略不计</v>
      </c>
      <c r="H290" s="58"/>
      <c r="I290" s="55" t="s">
        <v>73</v>
      </c>
      <c r="J290" s="57" t="e">
        <f aca="false">tranvalue(K290/$K$279,2)</f>
        <v>#DIV/0!</v>
      </c>
      <c r="K290" s="44"/>
      <c r="L290" s="34"/>
      <c r="M290" s="59" t="e">
        <f aca="false">IF(L290="n.a.","n.a.",tranvalue(L290/($L$279*$M$279)*100,IF(L290/($L$279*$M$279)*100&lt;0.0001,5,IF(L290/($L$279*$M$279)*100&lt;0.001,4,IF(L290/($L$279*$M$279)*100&lt;0.01,3,IF(L290/($L$279*$M$279)*100&lt;0.1,2,IF(L290/($L$279*$M$279)*100&lt;1,1,0)))))))</f>
        <v>#DIV/0!</v>
      </c>
      <c r="N290" s="59" t="str">
        <f aca="false">IF(L290&lt;$D$27,"忽略不计",M290)</f>
        <v>忽略不计</v>
      </c>
      <c r="IJ290" s="1"/>
      <c r="IK290" s="1"/>
      <c r="IL290" s="1"/>
    </row>
    <row r="291" customFormat="false" ht="17.15" hidden="false" customHeight="false" outlineLevel="0" collapsed="false">
      <c r="A291" s="58"/>
      <c r="B291" s="55" t="s">
        <v>74</v>
      </c>
      <c r="C291" s="57" t="e">
        <f aca="false">tranvalue(D291/$D$279,2)</f>
        <v>#DIV/0!</v>
      </c>
      <c r="D291" s="44"/>
      <c r="E291" s="36"/>
      <c r="F291" s="59" t="e">
        <f aca="false">IF(E291="n.a.","n.a.",tranvalue(E291/($E$279*$F$279)*100,IF(E291/($E$279*$F$279)*100&lt;0.0001,5,IF(E291/($E$279*$F$279)*100&lt;0.001,4,IF(E291/($E$279*$F$279)*100&lt;0.01,3,IF(E291/($E$279*$F$279)*100&lt;0.1,2,IF(E291/($E$279*$F$279)*100&lt;1,1,0)))))))</f>
        <v>#DIV/0!</v>
      </c>
      <c r="G291" s="59" t="str">
        <f aca="false">IF(E291&lt;$D$27,"忽略不计",F291)</f>
        <v>忽略不计</v>
      </c>
      <c r="H291" s="58"/>
      <c r="I291" s="55" t="s">
        <v>74</v>
      </c>
      <c r="J291" s="57" t="e">
        <f aca="false">tranvalue(K291/$K$279,2)</f>
        <v>#DIV/0!</v>
      </c>
      <c r="K291" s="44"/>
      <c r="L291" s="34"/>
      <c r="M291" s="59" t="e">
        <f aca="false">IF(L291="n.a.","n.a.",tranvalue(L291/($L$279*$M$279)*100,IF(L291/($L$279*$M$279)*100&lt;0.0001,5,IF(L291/($L$279*$M$279)*100&lt;0.001,4,IF(L291/($L$279*$M$279)*100&lt;0.01,3,IF(L291/($L$279*$M$279)*100&lt;0.1,2,IF(L291/($L$279*$M$279)*100&lt;1,1,0)))))))</f>
        <v>#DIV/0!</v>
      </c>
      <c r="N291" s="59" t="str">
        <f aca="false">IF(L291&lt;$D$27,"忽略不计",M291)</f>
        <v>忽略不计</v>
      </c>
      <c r="IJ291" s="1"/>
      <c r="IK291" s="1"/>
      <c r="IL291" s="1"/>
    </row>
    <row r="292" customFormat="false" ht="17.15" hidden="false" customHeight="false" outlineLevel="0" collapsed="false">
      <c r="A292" s="58"/>
      <c r="B292" s="55" t="s">
        <v>75</v>
      </c>
      <c r="C292" s="57" t="e">
        <f aca="false">tranvalue(D292/$D$279,2)</f>
        <v>#DIV/0!</v>
      </c>
      <c r="D292" s="44"/>
      <c r="E292" s="36"/>
      <c r="F292" s="59" t="e">
        <f aca="false">IF(E292="n.a.","n.a.",tranvalue(E292/($E$279*$F$279)*100,IF(E292/($E$279*$F$279)*100&lt;0.0001,5,IF(E292/($E$279*$F$279)*100&lt;0.001,4,IF(E292/($E$279*$F$279)*100&lt;0.01,3,IF(E292/($E$279*$F$279)*100&lt;0.1,2,IF(E292/($E$279*$F$279)*100&lt;1,1,0)))))))</f>
        <v>#DIV/0!</v>
      </c>
      <c r="G292" s="59" t="str">
        <f aca="false">IF(E292&lt;$D$27,"忽略不计",F292)</f>
        <v>忽略不计</v>
      </c>
      <c r="H292" s="58"/>
      <c r="I292" s="55" t="s">
        <v>75</v>
      </c>
      <c r="J292" s="57" t="e">
        <f aca="false">tranvalue(K292/$K$279,2)</f>
        <v>#DIV/0!</v>
      </c>
      <c r="K292" s="44"/>
      <c r="L292" s="36"/>
      <c r="M292" s="59" t="e">
        <f aca="false">IF(L292="n.a.","n.a.",tranvalue(L292/($L$279*$M$279)*100,IF(L292/($L$279*$M$279)*100&lt;0.0001,5,IF(L292/($L$279*$M$279)*100&lt;0.001,4,IF(L292/($L$279*$M$279)*100&lt;0.01,3,IF(L292/($L$279*$M$279)*100&lt;0.1,2,IF(L292/($L$279*$M$279)*100&lt;1,1,0)))))))</f>
        <v>#DIV/0!</v>
      </c>
      <c r="N292" s="59" t="str">
        <f aca="false">IF(L292&lt;$D$27,"忽略不计",M292)</f>
        <v>忽略不计</v>
      </c>
      <c r="IJ292" s="1"/>
      <c r="IK292" s="1"/>
      <c r="IL292" s="1"/>
    </row>
    <row r="293" customFormat="false" ht="17.15" hidden="false" customHeight="false" outlineLevel="0" collapsed="false">
      <c r="A293" s="58"/>
      <c r="B293" s="55" t="s">
        <v>76</v>
      </c>
      <c r="C293" s="57" t="e">
        <f aca="false">tranvalue(D293/$D$279,2)</f>
        <v>#DIV/0!</v>
      </c>
      <c r="D293" s="44"/>
      <c r="E293" s="36"/>
      <c r="F293" s="59" t="e">
        <f aca="false">IF(E293="n.a.","n.a.",tranvalue(E293/($E$279*$F$279)*100,IF(E293/($E$279*$F$279)*100&lt;0.0001,5,IF(E293/($E$279*$F$279)*100&lt;0.001,4,IF(E293/($E$279*$F$279)*100&lt;0.01,3,IF(E293/($E$279*$F$279)*100&lt;0.1,2,IF(E293/($E$279*$F$279)*100&lt;1,1,0)))))))</f>
        <v>#DIV/0!</v>
      </c>
      <c r="G293" s="59" t="str">
        <f aca="false">IF(E293&lt;$D$27,"忽略不计",F293)</f>
        <v>忽略不计</v>
      </c>
      <c r="H293" s="58"/>
      <c r="I293" s="55" t="s">
        <v>76</v>
      </c>
      <c r="J293" s="57" t="e">
        <f aca="false">tranvalue(K293/$K$279,2)</f>
        <v>#DIV/0!</v>
      </c>
      <c r="K293" s="44"/>
      <c r="L293" s="36"/>
      <c r="M293" s="59" t="e">
        <f aca="false">IF(L293="n.a.","n.a.",tranvalue(L293/($L$279*$M$279)*100,IF(L293/($L$279*$M$279)*100&lt;0.0001,5,IF(L293/($L$279*$M$279)*100&lt;0.001,4,IF(L293/($L$279*$M$279)*100&lt;0.01,3,IF(L293/($L$279*$M$279)*100&lt;0.1,2,IF(L293/($L$279*$M$279)*100&lt;1,1,0)))))))</f>
        <v>#DIV/0!</v>
      </c>
      <c r="N293" s="59" t="str">
        <f aca="false">IF(L293&lt;$D$27,"忽略不计",M293)</f>
        <v>忽略不计</v>
      </c>
      <c r="IJ293" s="1"/>
      <c r="IK293" s="1"/>
      <c r="IL293" s="1"/>
    </row>
    <row r="294" customFormat="false" ht="17.15" hidden="false" customHeight="false" outlineLevel="0" collapsed="false">
      <c r="A294" s="58"/>
      <c r="B294" s="55" t="s">
        <v>77</v>
      </c>
      <c r="C294" s="57" t="e">
        <f aca="false">tranvalue(D294/$D$279,2)</f>
        <v>#DIV/0!</v>
      </c>
      <c r="D294" s="44"/>
      <c r="E294" s="36"/>
      <c r="F294" s="59" t="e">
        <f aca="false">IF(E294="n.a.","n.a.",tranvalue(E294/($E$279*$F$279)*100,IF(E294/($E$279*$F$279)*100&lt;0.0001,5,IF(E294/($E$279*$F$279)*100&lt;0.001,4,IF(E294/($E$279*$F$279)*100&lt;0.01,3,IF(E294/($E$279*$F$279)*100&lt;0.1,2,IF(E294/($E$279*$F$279)*100&lt;1,1,0)))))))</f>
        <v>#DIV/0!</v>
      </c>
      <c r="G294" s="59" t="str">
        <f aca="false">IF(E294&lt;$D$27,"忽略不计",F294)</f>
        <v>忽略不计</v>
      </c>
      <c r="H294" s="58"/>
      <c r="I294" s="55" t="s">
        <v>77</v>
      </c>
      <c r="J294" s="57" t="e">
        <f aca="false">tranvalue(K294/$K$279,2)</f>
        <v>#DIV/0!</v>
      </c>
      <c r="K294" s="44"/>
      <c r="L294" s="36"/>
      <c r="M294" s="59" t="e">
        <f aca="false">IF(L294="n.a.","n.a.",tranvalue(L294/($L$279*$M$279)*100,IF(L294/($L$279*$M$279)*100&lt;0.0001,5,IF(L294/($L$279*$M$279)*100&lt;0.001,4,IF(L294/($L$279*$M$279)*100&lt;0.01,3,IF(L294/($L$279*$M$279)*100&lt;0.1,2,IF(L294/($L$279*$M$279)*100&lt;1,1,0)))))))</f>
        <v>#DIV/0!</v>
      </c>
      <c r="N294" s="59" t="str">
        <f aca="false">IF(L294&lt;$D$27,"忽略不计",M294)</f>
        <v>忽略不计</v>
      </c>
      <c r="IJ294" s="1"/>
      <c r="IK294" s="1"/>
      <c r="IL294" s="1"/>
    </row>
    <row r="295" customFormat="false" ht="17.15" hidden="false" customHeight="false" outlineLevel="0" collapsed="false">
      <c r="A295" s="58"/>
      <c r="B295" s="55" t="s">
        <v>78</v>
      </c>
      <c r="C295" s="57" t="e">
        <f aca="false">tranvalue(D295/$D$279,2)</f>
        <v>#DIV/0!</v>
      </c>
      <c r="D295" s="44"/>
      <c r="E295" s="36"/>
      <c r="F295" s="59" t="e">
        <f aca="false">IF(E295="n.a.","n.a.",tranvalue(E295/($E$279*$F$279)*100,IF(E295/($E$279*$F$279)*100&lt;0.0001,5,IF(E295/($E$279*$F$279)*100&lt;0.001,4,IF(E295/($E$279*$F$279)*100&lt;0.01,3,IF(E295/($E$279*$F$279)*100&lt;0.1,2,IF(E295/($E$279*$F$279)*100&lt;1,1,0)))))))</f>
        <v>#DIV/0!</v>
      </c>
      <c r="G295" s="59" t="str">
        <f aca="false">IF(E295&lt;$D$27,"忽略不计",F295)</f>
        <v>忽略不计</v>
      </c>
      <c r="H295" s="58"/>
      <c r="I295" s="55" t="s">
        <v>78</v>
      </c>
      <c r="J295" s="57" t="e">
        <f aca="false">tranvalue(K295/$K$279,2)</f>
        <v>#DIV/0!</v>
      </c>
      <c r="K295" s="44"/>
      <c r="L295" s="36"/>
      <c r="M295" s="59" t="e">
        <f aca="false">IF(L295="n.a.","n.a.",tranvalue(L295/($L$279*$M$279)*100,IF(L295/($L$279*$M$279)*100&lt;0.0001,5,IF(L295/($L$279*$M$279)*100&lt;0.001,4,IF(L295/($L$279*$M$279)*100&lt;0.01,3,IF(L295/($L$279*$M$279)*100&lt;0.1,2,IF(L295/($L$279*$M$279)*100&lt;1,1,0)))))))</f>
        <v>#DIV/0!</v>
      </c>
      <c r="N295" s="59" t="str">
        <f aca="false">IF(L295&lt;$D$27,"忽略不计",M295)</f>
        <v>忽略不计</v>
      </c>
      <c r="IJ295" s="1"/>
      <c r="IK295" s="1"/>
      <c r="IL295" s="1"/>
    </row>
    <row r="296" customFormat="false" ht="17.15" hidden="false" customHeight="false" outlineLevel="0" collapsed="false">
      <c r="A296" s="58"/>
      <c r="B296" s="55" t="s">
        <v>79</v>
      </c>
      <c r="C296" s="57" t="e">
        <f aca="false">tranvalue(D296/$D$279,2)</f>
        <v>#DIV/0!</v>
      </c>
      <c r="D296" s="44"/>
      <c r="E296" s="36"/>
      <c r="F296" s="59" t="e">
        <f aca="false">IF(E296="n.a.","n.a.",tranvalue(E296/($E$279*$F$279)*100,IF(E296/($E$279*$F$279)*100&lt;0.0001,5,IF(E296/($E$279*$F$279)*100&lt;0.001,4,IF(E296/($E$279*$F$279)*100&lt;0.01,3,IF(E296/($E$279*$F$279)*100&lt;0.1,2,IF(E296/($E$279*$F$279)*100&lt;1,1,0)))))))</f>
        <v>#DIV/0!</v>
      </c>
      <c r="G296" s="59" t="str">
        <f aca="false">IF(E296&lt;$D$27,"忽略不计",F296)</f>
        <v>忽略不计</v>
      </c>
      <c r="H296" s="58"/>
      <c r="I296" s="55" t="s">
        <v>79</v>
      </c>
      <c r="J296" s="57" t="e">
        <f aca="false">tranvalue(K296/$K$279,2)</f>
        <v>#DIV/0!</v>
      </c>
      <c r="K296" s="44"/>
      <c r="L296" s="36"/>
      <c r="M296" s="59" t="e">
        <f aca="false">IF(L296="n.a.","n.a.",tranvalue(L296/($L$279*$M$279)*100,IF(L296/($L$279*$M$279)*100&lt;0.0001,5,IF(L296/($L$279*$M$279)*100&lt;0.001,4,IF(L296/($L$279*$M$279)*100&lt;0.01,3,IF(L296/($L$279*$M$279)*100&lt;0.1,2,IF(L296/($L$279*$M$279)*100&lt;1,1,0)))))))</f>
        <v>#DIV/0!</v>
      </c>
      <c r="N296" s="59" t="str">
        <f aca="false">IF(L296&lt;$D$27,"忽略不计",M296)</f>
        <v>忽略不计</v>
      </c>
      <c r="IJ296" s="1"/>
      <c r="IK296" s="1"/>
      <c r="IL296" s="1"/>
    </row>
    <row r="297" customFormat="false" ht="17.15" hidden="false" customHeight="false" outlineLevel="0" collapsed="false">
      <c r="A297" s="58"/>
      <c r="B297" s="55" t="s">
        <v>80</v>
      </c>
      <c r="C297" s="57" t="e">
        <f aca="false">tranvalue(D297/$D$279,2)</f>
        <v>#DIV/0!</v>
      </c>
      <c r="D297" s="44"/>
      <c r="E297" s="36"/>
      <c r="F297" s="59" t="e">
        <f aca="false">IF(E297="n.a.","n.a.",tranvalue(E297/($E$279*$F$279)*100,IF(E297/($E$279*$F$279)*100&lt;0.0001,5,IF(E297/($E$279*$F$279)*100&lt;0.001,4,IF(E297/($E$279*$F$279)*100&lt;0.01,3,IF(E297/($E$279*$F$279)*100&lt;0.1,2,IF(E297/($E$279*$F$279)*100&lt;1,1,0)))))))</f>
        <v>#DIV/0!</v>
      </c>
      <c r="G297" s="59" t="str">
        <f aca="false">IF(E297&lt;$D$27,"忽略不计",F297)</f>
        <v>忽略不计</v>
      </c>
      <c r="H297" s="58"/>
      <c r="I297" s="55" t="s">
        <v>80</v>
      </c>
      <c r="J297" s="57" t="e">
        <f aca="false">tranvalue(K297/$K$279,2)</f>
        <v>#DIV/0!</v>
      </c>
      <c r="K297" s="44"/>
      <c r="L297" s="36"/>
      <c r="M297" s="59" t="e">
        <f aca="false">IF(L297="n.a.","n.a.",tranvalue(L297/($L$279*$M$279)*100,IF(L297/($L$279*$M$279)*100&lt;0.0001,5,IF(L297/($L$279*$M$279)*100&lt;0.001,4,IF(L297/($L$279*$M$279)*100&lt;0.01,3,IF(L297/($L$279*$M$279)*100&lt;0.1,2,IF(L297/($L$279*$M$279)*100&lt;1,1,0)))))))</f>
        <v>#DIV/0!</v>
      </c>
      <c r="N297" s="59" t="str">
        <f aca="false">IF(L297&lt;$D$27,"忽略不计",M297)</f>
        <v>忽略不计</v>
      </c>
      <c r="IJ297" s="1"/>
      <c r="IK297" s="1"/>
      <c r="IL297" s="1"/>
    </row>
    <row r="298" customFormat="false" ht="17.15" hidden="false" customHeight="false" outlineLevel="0" collapsed="false">
      <c r="A298" s="58"/>
      <c r="B298" s="55" t="s">
        <v>81</v>
      </c>
      <c r="C298" s="57" t="e">
        <f aca="false">tranvalue(D298/$D$279,2)</f>
        <v>#DIV/0!</v>
      </c>
      <c r="D298" s="44"/>
      <c r="E298" s="36"/>
      <c r="F298" s="59" t="e">
        <f aca="false">IF(E298="n.a.","n.a.",tranvalue(E298/($E$279*$F$279)*100,IF(E298/($E$279*$F$279)*100&lt;0.0001,5,IF(E298/($E$279*$F$279)*100&lt;0.001,4,IF(E298/($E$279*$F$279)*100&lt;0.01,3,IF(E298/($E$279*$F$279)*100&lt;0.1,2,IF(E298/($E$279*$F$279)*100&lt;1,1,0)))))))</f>
        <v>#DIV/0!</v>
      </c>
      <c r="G298" s="59" t="str">
        <f aca="false">IF(E298&lt;$D$27,"忽略不计",F298)</f>
        <v>忽略不计</v>
      </c>
      <c r="H298" s="58"/>
      <c r="I298" s="55" t="s">
        <v>81</v>
      </c>
      <c r="J298" s="57" t="e">
        <f aca="false">tranvalue(K298/$K$279,2)</f>
        <v>#DIV/0!</v>
      </c>
      <c r="K298" s="44"/>
      <c r="L298" s="36"/>
      <c r="M298" s="59" t="e">
        <f aca="false">IF(L298="n.a.","n.a.",tranvalue(L298/($L$279*$M$279)*100,IF(L298/($L$279*$M$279)*100&lt;0.0001,5,IF(L298/($L$279*$M$279)*100&lt;0.001,4,IF(L298/($L$279*$M$279)*100&lt;0.01,3,IF(L298/($L$279*$M$279)*100&lt;0.1,2,IF(L298/($L$279*$M$279)*100&lt;1,1,0)))))))</f>
        <v>#DIV/0!</v>
      </c>
      <c r="N298" s="59" t="str">
        <f aca="false">IF(L298&lt;$D$27,"忽略不计",M298)</f>
        <v>忽略不计</v>
      </c>
      <c r="IJ298" s="1"/>
      <c r="IK298" s="1"/>
      <c r="IL298" s="1"/>
    </row>
    <row r="299" customFormat="false" ht="17.15" hidden="false" customHeight="false" outlineLevel="0" collapsed="false">
      <c r="A299" s="58"/>
      <c r="B299" s="55" t="s">
        <v>82</v>
      </c>
      <c r="C299" s="57" t="e">
        <f aca="false">tranvalue(D299/$D$279,2)</f>
        <v>#DIV/0!</v>
      </c>
      <c r="D299" s="44"/>
      <c r="E299" s="36"/>
      <c r="F299" s="59" t="e">
        <f aca="false">IF(E299="n.a.","n.a.",tranvalue(E299/($E$279*$F$279)*100,IF(E299/($E$279*$F$279)*100&lt;0.0001,5,IF(E299/($E$279*$F$279)*100&lt;0.001,4,IF(E299/($E$279*$F$279)*100&lt;0.01,3,IF(E299/($E$279*$F$279)*100&lt;0.1,2,IF(E299/($E$279*$F$279)*100&lt;1,1,0)))))))</f>
        <v>#DIV/0!</v>
      </c>
      <c r="G299" s="59" t="str">
        <f aca="false">IF(E299&lt;$D$27,"忽略不计",F299)</f>
        <v>忽略不计</v>
      </c>
      <c r="H299" s="58"/>
      <c r="I299" s="55" t="s">
        <v>82</v>
      </c>
      <c r="J299" s="57" t="e">
        <f aca="false">tranvalue(K299/$K$279,2)</f>
        <v>#DIV/0!</v>
      </c>
      <c r="K299" s="44"/>
      <c r="L299" s="36"/>
      <c r="M299" s="59" t="e">
        <f aca="false">IF(L299="n.a.","n.a.",tranvalue(L299/($L$279*$M$279)*100,IF(L299/($L$279*$M$279)*100&lt;0.0001,5,IF(L299/($L$279*$M$279)*100&lt;0.001,4,IF(L299/($L$279*$M$279)*100&lt;0.01,3,IF(L299/($L$279*$M$279)*100&lt;0.1,2,IF(L299/($L$279*$M$279)*100&lt;1,1,0)))))))</f>
        <v>#DIV/0!</v>
      </c>
      <c r="N299" s="59" t="str">
        <f aca="false">IF(L299&lt;$D$27,"忽略不计",M299)</f>
        <v>忽略不计</v>
      </c>
      <c r="IJ299" s="1"/>
      <c r="IK299" s="1"/>
      <c r="IL299" s="1"/>
    </row>
    <row r="300" customFormat="false" ht="17.15" hidden="false" customHeight="false" outlineLevel="0" collapsed="false">
      <c r="A300" s="58"/>
      <c r="B300" s="55" t="s">
        <v>83</v>
      </c>
      <c r="C300" s="57" t="e">
        <f aca="false">tranvalue(D300/$D$279,2)</f>
        <v>#DIV/0!</v>
      </c>
      <c r="D300" s="44"/>
      <c r="E300" s="36"/>
      <c r="F300" s="59" t="e">
        <f aca="false">IF(E300="n.a.","n.a.",tranvalue(E300/($E$279*$F$279)*100,IF(E300/($E$279*$F$279)*100&lt;0.0001,5,IF(E300/($E$279*$F$279)*100&lt;0.001,4,IF(E300/($E$279*$F$279)*100&lt;0.01,3,IF(E300/($E$279*$F$279)*100&lt;0.1,2,IF(E300/($E$279*$F$279)*100&lt;1,1,0)))))))</f>
        <v>#DIV/0!</v>
      </c>
      <c r="G300" s="59" t="str">
        <f aca="false">IF(E300&lt;$D$27,"忽略不计",F300)</f>
        <v>忽略不计</v>
      </c>
      <c r="H300" s="58"/>
      <c r="I300" s="55" t="s">
        <v>83</v>
      </c>
      <c r="J300" s="57" t="e">
        <f aca="false">tranvalue(K300/$K$279,2)</f>
        <v>#DIV/0!</v>
      </c>
      <c r="K300" s="44"/>
      <c r="L300" s="36"/>
      <c r="M300" s="59" t="e">
        <f aca="false">IF(L300="n.a.","n.a.",tranvalue(L300/($L$279*$M$279)*100,IF(L300/($L$279*$M$279)*100&lt;0.0001,5,IF(L300/($L$279*$M$279)*100&lt;0.001,4,IF(L300/($L$279*$M$279)*100&lt;0.01,3,IF(L300/($L$279*$M$279)*100&lt;0.1,2,IF(L300/($L$279*$M$279)*100&lt;1,1,0)))))))</f>
        <v>#DIV/0!</v>
      </c>
      <c r="N300" s="59" t="str">
        <f aca="false">IF(L300&lt;$D$27,"忽略不计",M300)</f>
        <v>忽略不计</v>
      </c>
      <c r="IJ300" s="1"/>
      <c r="IK300" s="1"/>
      <c r="IL300" s="1"/>
    </row>
    <row r="301" customFormat="false" ht="17.15" hidden="false" customHeight="false" outlineLevel="0" collapsed="false">
      <c r="A301" s="58"/>
      <c r="B301" s="55" t="s">
        <v>84</v>
      </c>
      <c r="C301" s="57" t="e">
        <f aca="false">tranvalue(D301/$D$279,2)</f>
        <v>#DIV/0!</v>
      </c>
      <c r="D301" s="60"/>
      <c r="E301" s="62"/>
      <c r="F301" s="59" t="e">
        <f aca="false">IF(E301="n.a.","n.a.",tranvalue(E301/($E$279*$F$279)*100,IF(E301/($E$279*$F$279)*100&lt;0.0001,5,IF(E301/($E$279*$F$279)*100&lt;0.001,4,IF(E301/($E$279*$F$279)*100&lt;0.01,3,IF(E301/($E$279*$F$279)*100&lt;0.1,2,IF(E301/($E$279*$F$279)*100&lt;1,1,0)))))))</f>
        <v>#DIV/0!</v>
      </c>
      <c r="G301" s="59" t="str">
        <f aca="false">IF(E301&lt;$D$27,"忽略不计",F301)</f>
        <v>忽略不计</v>
      </c>
      <c r="H301" s="58"/>
      <c r="I301" s="55" t="s">
        <v>84</v>
      </c>
      <c r="J301" s="57" t="e">
        <f aca="false">tranvalue(K301/$K$279,2)</f>
        <v>#DIV/0!</v>
      </c>
      <c r="K301" s="60"/>
      <c r="L301" s="62"/>
      <c r="M301" s="59" t="e">
        <f aca="false">IF(L301="n.a.","n.a.",tranvalue(L301/($L$279*$M$279)*100,IF(L301/($L$279*$M$279)*100&lt;0.0001,5,IF(L301/($L$279*$M$279)*100&lt;0.001,4,IF(L301/($L$279*$M$279)*100&lt;0.01,3,IF(L301/($L$279*$M$279)*100&lt;0.1,2,IF(L301/($L$279*$M$279)*100&lt;1,1,0)))))))</f>
        <v>#DIV/0!</v>
      </c>
      <c r="N301" s="59" t="str">
        <f aca="false">IF(L301&lt;$D$27,"忽略不计",M301)</f>
        <v>忽略不计</v>
      </c>
      <c r="IJ301" s="1"/>
      <c r="IK301" s="1"/>
      <c r="IL301" s="1"/>
    </row>
    <row r="302" customFormat="false" ht="29.1" hidden="false" customHeight="true" outlineLevel="0" collapsed="false">
      <c r="A302" s="55" t="s">
        <v>85</v>
      </c>
      <c r="B302" s="56" t="s">
        <v>86</v>
      </c>
      <c r="C302" s="56"/>
      <c r="D302" s="56"/>
      <c r="E302" s="56"/>
      <c r="F302" s="63" t="e">
        <f aca="false">MAX(F282:F301)</f>
        <v>#DIV/0!</v>
      </c>
      <c r="G302" s="59" t="str">
        <f aca="false">IF(MAX(E282:E301)&lt;$D$27,"忽略不计",F302)</f>
        <v>忽略不计</v>
      </c>
      <c r="H302" s="55" t="s">
        <v>85</v>
      </c>
      <c r="I302" s="56" t="s">
        <v>86</v>
      </c>
      <c r="J302" s="56"/>
      <c r="K302" s="56"/>
      <c r="L302" s="56"/>
      <c r="M302" s="63" t="e">
        <f aca="false">MAX(M282:M301)</f>
        <v>#DIV/0!</v>
      </c>
      <c r="N302" s="59" t="str">
        <f aca="false">IF(MAX(L282:L301)&lt;$D$27,"忽略不计",M302)</f>
        <v>忽略不计</v>
      </c>
      <c r="IJ302" s="1"/>
    </row>
    <row r="303" customFormat="false" ht="17.15" hidden="false" customHeight="true" outlineLevel="0" collapsed="false">
      <c r="A303" s="55"/>
      <c r="B303" s="56" t="s">
        <v>87</v>
      </c>
      <c r="C303" s="56"/>
      <c r="D303" s="56"/>
      <c r="E303" s="56"/>
      <c r="F303" s="63" t="e">
        <f aca="false">IF(SUM(F281:F301)=0,0,tranvalue(SUM(F281:F301),IF(SUM(F281:F301)&lt;0.0001,6,IF(SUM(F281:F301)&lt;0.001,5,IF(SUM(F281:F301)&lt;0.01,4,IF(SUM(F281:F301)&lt;0.1,3,IF(SUM(F281:F301)&lt;1,2,1)))))))</f>
        <v>#DIV/0!</v>
      </c>
      <c r="G303" s="63"/>
      <c r="H303" s="55"/>
      <c r="I303" s="56" t="s">
        <v>87</v>
      </c>
      <c r="J303" s="56"/>
      <c r="K303" s="56"/>
      <c r="L303" s="56"/>
      <c r="M303" s="63" t="e">
        <f aca="false">IF(SUM(M281:M301)=0,0,tranvalue(SUM(M281:M301),IF(SUM(M281:M301)&lt;0.0001,6,IF(SUM(M281:M301)&lt;0.001,5,IF(SUM(M281:M301)&lt;0.01,4,IF(SUM(M281:M301)&lt;0.1,3,IF(SUM(M281:M301)&lt;1,2,1)))))))</f>
        <v>#DIV/0!</v>
      </c>
      <c r="N303" s="63"/>
      <c r="IJ303" s="1"/>
    </row>
    <row r="304" customFormat="false" ht="17.15" hidden="false" customHeight="true" outlineLevel="0" collapsed="false">
      <c r="A304" s="55"/>
      <c r="B304" s="56" t="s">
        <v>88</v>
      </c>
      <c r="C304" s="56"/>
      <c r="D304" s="56"/>
      <c r="E304" s="56"/>
      <c r="F304" s="63" t="str">
        <f aca="false">IF(SUM(G281:G301)=0,"0",tranvalue(SUM(G281:G301),IF(SUM(G281:G301)&lt;0.0001,6,IF(SUM(G281:G301)&lt;0.001,5,IF(SUM(G281:G301)&lt;0.01,4,IF(SUM(G281:G301)&lt;0.1,3,IF(SUM(G281:G301)&lt;1,2,1)))))))</f>
        <v>0</v>
      </c>
      <c r="G304" s="63"/>
      <c r="H304" s="55"/>
      <c r="I304" s="56" t="s">
        <v>88</v>
      </c>
      <c r="J304" s="56"/>
      <c r="K304" s="56"/>
      <c r="L304" s="56"/>
      <c r="M304" s="63" t="str">
        <f aca="false">IF(SUM(N281:N301)=0,"0",tranvalue(SUM(N281:N301),IF(SUM(N281:N301)&lt;0.0001,6,IF(SUM(N281:N301)&lt;0.001,5,IF(SUM(N281:N301)&lt;0.01,4,IF(SUM(N281:N301)&lt;0.1,3,IF(SUM(N281:N301)&lt;1,2,1)))))))</f>
        <v>0</v>
      </c>
      <c r="N304" s="63"/>
      <c r="IJ304" s="1"/>
    </row>
    <row r="305" customFormat="false" ht="13.8" hidden="false" customHeight="false" outlineLevel="0" collapsed="false">
      <c r="IJ305" s="1"/>
    </row>
    <row r="306" customFormat="false" ht="14.25" hidden="false" customHeight="true" outlineLevel="0" collapsed="false">
      <c r="B306" s="1" t="s">
        <v>89</v>
      </c>
      <c r="F306" s="64"/>
      <c r="IJ306" s="1"/>
    </row>
    <row r="307" customFormat="false" ht="13.8" hidden="false" customHeight="false" outlineLevel="0" collapsed="false">
      <c r="IJ307" s="1"/>
    </row>
    <row r="308" customFormat="false" ht="13.8" hidden="false" customHeight="false" outlineLevel="0" collapsed="false">
      <c r="IJ308" s="1"/>
    </row>
    <row r="309" customFormat="false" ht="13.8" hidden="false" customHeight="false" outlineLevel="0" collapsed="false">
      <c r="IJ309" s="1"/>
    </row>
    <row r="310" customFormat="false" ht="13.8" hidden="false" customHeight="false" outlineLevel="0" collapsed="false">
      <c r="IJ310" s="1"/>
    </row>
    <row r="311" customFormat="false" ht="13.8" hidden="false" customHeight="false" outlineLevel="0" collapsed="false">
      <c r="B311" s="1" t="s">
        <v>90</v>
      </c>
      <c r="IJ311" s="1"/>
    </row>
    <row r="312" customFormat="false" ht="13.8" hidden="false" customHeight="false" outlineLevel="0" collapsed="false">
      <c r="IJ312" s="1"/>
    </row>
    <row r="313" customFormat="false" ht="13.8" hidden="false" customHeight="false" outlineLevel="0" collapsed="false">
      <c r="IJ313" s="1"/>
    </row>
    <row r="314" customFormat="false" ht="13.8" hidden="false" customHeight="false" outlineLevel="0" collapsed="false">
      <c r="IJ314" s="1"/>
    </row>
    <row r="315" customFormat="false" ht="17.15" hidden="false" customHeight="false" outlineLevel="0" collapsed="false">
      <c r="A315" s="1" t="s">
        <v>91</v>
      </c>
      <c r="D315" s="2"/>
      <c r="H315" s="1" t="s">
        <v>92</v>
      </c>
      <c r="IJ315" s="1"/>
    </row>
    <row r="318" customFormat="false" ht="17.15" hidden="false" customHeight="false" outlineLevel="0" collapsed="false">
      <c r="A318" s="42" t="s">
        <v>50</v>
      </c>
      <c r="B318" s="22"/>
      <c r="C318" s="22"/>
      <c r="D318" s="22"/>
      <c r="E318" s="22"/>
      <c r="F318" s="22"/>
      <c r="G318" s="22"/>
      <c r="H318" s="42" t="s">
        <v>50</v>
      </c>
      <c r="I318" s="22"/>
      <c r="J318" s="22"/>
      <c r="K318" s="22"/>
      <c r="L318" s="22"/>
      <c r="M318" s="22"/>
      <c r="N318" s="22"/>
      <c r="IJ318" s="1"/>
    </row>
    <row r="319" customFormat="false" ht="43.5" hidden="false" customHeight="true" outlineLevel="0" collapsed="false">
      <c r="A319" s="52" t="s">
        <v>23</v>
      </c>
      <c r="B319" s="53" t="s">
        <v>53</v>
      </c>
      <c r="C319" s="53" t="s">
        <v>54</v>
      </c>
      <c r="D319" s="43" t="s">
        <v>55</v>
      </c>
      <c r="E319" s="54" t="s">
        <v>48</v>
      </c>
      <c r="F319" s="52" t="s">
        <v>56</v>
      </c>
      <c r="G319" s="52"/>
      <c r="H319" s="52" t="s">
        <v>23</v>
      </c>
      <c r="I319" s="52" t="s">
        <v>53</v>
      </c>
      <c r="J319" s="52" t="s">
        <v>54</v>
      </c>
      <c r="K319" s="43" t="s">
        <v>55</v>
      </c>
      <c r="L319" s="43" t="s">
        <v>48</v>
      </c>
      <c r="M319" s="52" t="s">
        <v>56</v>
      </c>
      <c r="N319" s="52"/>
      <c r="IJ319" s="1"/>
      <c r="IK319" s="1"/>
      <c r="IL319" s="1"/>
    </row>
    <row r="320" customFormat="false" ht="17.15" hidden="false" customHeight="false" outlineLevel="0" collapsed="false">
      <c r="A320" s="55" t="s">
        <v>57</v>
      </c>
      <c r="B320" s="56" t="s">
        <v>58</v>
      </c>
      <c r="C320" s="57" t="e">
        <f aca="false">D320/$D$279</f>
        <v>#DIV/0!</v>
      </c>
      <c r="D320" s="44"/>
      <c r="E320" s="34"/>
      <c r="F320" s="38" t="n">
        <f aca="false">100/0.1</f>
        <v>1000</v>
      </c>
      <c r="G320" s="38"/>
      <c r="H320" s="55" t="s">
        <v>57</v>
      </c>
      <c r="I320" s="56" t="s">
        <v>58</v>
      </c>
      <c r="J320" s="57" t="e">
        <f aca="false">K320/$K$279</f>
        <v>#DIV/0!</v>
      </c>
      <c r="K320" s="44"/>
      <c r="L320" s="34"/>
      <c r="M320" s="38" t="n">
        <f aca="false">100/0.1</f>
        <v>1000</v>
      </c>
      <c r="N320" s="38"/>
      <c r="IJ320" s="1"/>
      <c r="IK320" s="1"/>
      <c r="IL320" s="1"/>
    </row>
    <row r="321" customFormat="false" ht="32.8" hidden="false" customHeight="false" outlineLevel="0" collapsed="false">
      <c r="A321" s="52" t="s">
        <v>23</v>
      </c>
      <c r="B321" s="52" t="s">
        <v>59</v>
      </c>
      <c r="C321" s="53" t="s">
        <v>54</v>
      </c>
      <c r="D321" s="43" t="s">
        <v>55</v>
      </c>
      <c r="E321" s="43" t="s">
        <v>48</v>
      </c>
      <c r="F321" s="52" t="s">
        <v>60</v>
      </c>
      <c r="G321" s="52" t="s">
        <v>61</v>
      </c>
      <c r="H321" s="52" t="s">
        <v>23</v>
      </c>
      <c r="I321" s="52" t="s">
        <v>59</v>
      </c>
      <c r="J321" s="53" t="s">
        <v>54</v>
      </c>
      <c r="K321" s="43" t="s">
        <v>55</v>
      </c>
      <c r="L321" s="43" t="s">
        <v>48</v>
      </c>
      <c r="M321" s="52" t="s">
        <v>60</v>
      </c>
      <c r="N321" s="52" t="s">
        <v>61</v>
      </c>
      <c r="IJ321" s="1"/>
      <c r="IK321" s="1"/>
      <c r="IL321" s="1"/>
    </row>
    <row r="322" customFormat="false" ht="17.15" hidden="false" customHeight="false" outlineLevel="0" collapsed="false">
      <c r="A322" s="58" t="s">
        <v>62</v>
      </c>
      <c r="B322" s="55" t="s">
        <v>63</v>
      </c>
      <c r="C322" s="57" t="e">
        <f aca="false">tranvalue(D322/$D$279,2)</f>
        <v>#DIV/0!</v>
      </c>
      <c r="D322" s="44"/>
      <c r="E322" s="36"/>
      <c r="F322" s="59" t="e">
        <f aca="false">IF(E322="n.a.","n.a.",tranvalue(E322/($E$320*$F$320)*100,IF(E322/($E$320*$F$320)*100&lt;0.0001,5,IF(E322/($E$320*$F$320)*100&lt;0.001,4,IF(E322/($E$320*$F$320)*100&lt;0.01,3,IF(E322/($E$320*$F$320)*100&lt;0.1,2,IF(E322/($E$320*$F$320)*100&lt;1,1,0)))))))</f>
        <v>#DIV/0!</v>
      </c>
      <c r="G322" s="59" t="str">
        <f aca="false">IF(E322&lt;$D$27,"忽略不计",F322)</f>
        <v>忽略不计</v>
      </c>
      <c r="H322" s="58" t="s">
        <v>62</v>
      </c>
      <c r="I322" s="55" t="s">
        <v>63</v>
      </c>
      <c r="J322" s="57" t="e">
        <f aca="false">tranvalue(K322/$K$279,2)</f>
        <v>#DIV/0!</v>
      </c>
      <c r="K322" s="44"/>
      <c r="L322" s="34"/>
      <c r="M322" s="59" t="e">
        <f aca="false">IF(L322="n.a.","n.a.",tranvalue(L322/($L$320*$M$320)*100,IF(L322/($L$320*$M$320)*100&lt;0.0001,5,IF(L322/($L$320*$M$320)*100&lt;0.001,4,IF(L322/($L$320*$M$320)*100&lt;0.01,3,IF(L322/($L$320*$M$320)*100&lt;0.1,2,IF(L322/($L$320*$M$320)*100&lt;1,1,0)))))))</f>
        <v>#DIV/0!</v>
      </c>
      <c r="N322" s="59" t="str">
        <f aca="false">IF(L322&lt;$D$27,"忽略不计",M322)</f>
        <v>忽略不计</v>
      </c>
      <c r="IJ322" s="1"/>
      <c r="IK322" s="1"/>
      <c r="IL322" s="1"/>
    </row>
    <row r="323" customFormat="false" ht="17.15" hidden="false" customHeight="true" outlineLevel="0" collapsed="false">
      <c r="A323" s="58" t="s">
        <v>64</v>
      </c>
      <c r="B323" s="55" t="s">
        <v>65</v>
      </c>
      <c r="C323" s="57" t="e">
        <f aca="false">tranvalue(D323/$D$279,2)</f>
        <v>#DIV/0!</v>
      </c>
      <c r="D323" s="44"/>
      <c r="E323" s="36"/>
      <c r="F323" s="59" t="e">
        <f aca="false">IF(E323="n.a.","n.a.",tranvalue(E323/($E$320*$F$320)*100,IF(E323/($E$320*$F$320)*100&lt;0.0001,5,IF(E323/($E$320*$F$320)*100&lt;0.001,4,IF(E323/($E$320*$F$320)*100&lt;0.01,3,IF(E323/($E$320*$F$320)*100&lt;0.1,2,IF(E323/($E$320*$F$320)*100&lt;1,1,0)))))))</f>
        <v>#DIV/0!</v>
      </c>
      <c r="G323" s="59" t="str">
        <f aca="false">IF(E323&lt;$D$27,"忽略不计",F323)</f>
        <v>忽略不计</v>
      </c>
      <c r="H323" s="58" t="s">
        <v>64</v>
      </c>
      <c r="I323" s="55" t="s">
        <v>65</v>
      </c>
      <c r="J323" s="57" t="e">
        <f aca="false">tranvalue(K323/$K$279,2)</f>
        <v>#DIV/0!</v>
      </c>
      <c r="K323" s="44"/>
      <c r="L323" s="34"/>
      <c r="M323" s="59" t="e">
        <f aca="false">IF(L323="n.a.","n.a.",tranvalue(L323/($L$320*$M$320)*100,IF(L323/($L$320*$M$320)*100&lt;0.0001,5,IF(L323/($L$320*$M$320)*100&lt;0.001,4,IF(L323/($L$320*$M$320)*100&lt;0.01,3,IF(L323/($L$320*$M$320)*100&lt;0.1,2,IF(L323/($L$320*$M$320)*100&lt;1,1,0)))))))</f>
        <v>#DIV/0!</v>
      </c>
      <c r="N323" s="59" t="str">
        <f aca="false">IF(L323&lt;$D$27,"忽略不计",M323)</f>
        <v>忽略不计</v>
      </c>
      <c r="IJ323" s="1"/>
      <c r="IK323" s="1"/>
      <c r="IL323" s="1"/>
    </row>
    <row r="324" customFormat="false" ht="17.15" hidden="false" customHeight="false" outlineLevel="0" collapsed="false">
      <c r="A324" s="58"/>
      <c r="B324" s="55" t="s">
        <v>66</v>
      </c>
      <c r="C324" s="57" t="e">
        <f aca="false">tranvalue(D324/$D$279,2)</f>
        <v>#DIV/0!</v>
      </c>
      <c r="D324" s="44"/>
      <c r="E324" s="36"/>
      <c r="F324" s="59" t="e">
        <f aca="false">IF(E324="n.a.","n.a.",tranvalue(E324/($E$320*$F$320)*100,IF(E324/($E$320*$F$320)*100&lt;0.0001,5,IF(E324/($E$320*$F$320)*100&lt;0.001,4,IF(E324/($E$320*$F$320)*100&lt;0.01,3,IF(E324/($E$320*$F$320)*100&lt;0.1,2,IF(E324/($E$320*$F$320)*100&lt;1,1,0)))))))</f>
        <v>#DIV/0!</v>
      </c>
      <c r="G324" s="59" t="str">
        <f aca="false">IF(E324&lt;$D$27,"忽略不计",F324)</f>
        <v>忽略不计</v>
      </c>
      <c r="H324" s="58"/>
      <c r="I324" s="55" t="s">
        <v>66</v>
      </c>
      <c r="J324" s="57" t="e">
        <f aca="false">tranvalue(K324/$K$279,2)</f>
        <v>#DIV/0!</v>
      </c>
      <c r="K324" s="44"/>
      <c r="L324" s="34"/>
      <c r="M324" s="59" t="e">
        <f aca="false">IF(L324="n.a.","n.a.",tranvalue(L324/($L$320*$M$320)*100,IF(L324/($L$320*$M$320)*100&lt;0.0001,5,IF(L324/($L$320*$M$320)*100&lt;0.001,4,IF(L324/($L$320*$M$320)*100&lt;0.01,3,IF(L324/($L$320*$M$320)*100&lt;0.1,2,IF(L324/($L$320*$M$320)*100&lt;1,1,0)))))))</f>
        <v>#DIV/0!</v>
      </c>
      <c r="N324" s="59" t="str">
        <f aca="false">IF(L324&lt;$D$27,"忽略不计",M324)</f>
        <v>忽略不计</v>
      </c>
      <c r="IJ324" s="1"/>
      <c r="IK324" s="1"/>
      <c r="IL324" s="1"/>
    </row>
    <row r="325" customFormat="false" ht="17.15" hidden="false" customHeight="false" outlineLevel="0" collapsed="false">
      <c r="A325" s="58"/>
      <c r="B325" s="55" t="s">
        <v>67</v>
      </c>
      <c r="C325" s="57" t="e">
        <f aca="false">tranvalue(D325/$D$279,2)</f>
        <v>#DIV/0!</v>
      </c>
      <c r="D325" s="44"/>
      <c r="E325" s="36"/>
      <c r="F325" s="59" t="e">
        <f aca="false">IF(E325="n.a.","n.a.",tranvalue(E325/($E$320*$F$320)*100,IF(E325/($E$320*$F$320)*100&lt;0.0001,5,IF(E325/($E$320*$F$320)*100&lt;0.001,4,IF(E325/($E$320*$F$320)*100&lt;0.01,3,IF(E325/($E$320*$F$320)*100&lt;0.1,2,IF(E325/($E$320*$F$320)*100&lt;1,1,0)))))))</f>
        <v>#DIV/0!</v>
      </c>
      <c r="G325" s="59" t="str">
        <f aca="false">IF(E325&lt;$D$27,"忽略不计",F325)</f>
        <v>忽略不计</v>
      </c>
      <c r="H325" s="58"/>
      <c r="I325" s="55" t="s">
        <v>67</v>
      </c>
      <c r="J325" s="57" t="e">
        <f aca="false">tranvalue(K325/$K$279,2)</f>
        <v>#DIV/0!</v>
      </c>
      <c r="K325" s="44"/>
      <c r="L325" s="34"/>
      <c r="M325" s="59" t="e">
        <f aca="false">IF(L325="n.a.","n.a.",tranvalue(L325/($L$320*$M$320)*100,IF(L325/($L$320*$M$320)*100&lt;0.0001,5,IF(L325/($L$320*$M$320)*100&lt;0.001,4,IF(L325/($L$320*$M$320)*100&lt;0.01,3,IF(L325/($L$320*$M$320)*100&lt;0.1,2,IF(L325/($L$320*$M$320)*100&lt;1,1,0)))))))</f>
        <v>#DIV/0!</v>
      </c>
      <c r="N325" s="59" t="str">
        <f aca="false">IF(L325&lt;$D$27,"忽略不计",M325)</f>
        <v>忽略不计</v>
      </c>
      <c r="IJ325" s="1"/>
      <c r="IK325" s="1"/>
      <c r="IL325" s="1"/>
    </row>
    <row r="326" customFormat="false" ht="17.15" hidden="false" customHeight="false" outlineLevel="0" collapsed="false">
      <c r="A326" s="58"/>
      <c r="B326" s="55" t="s">
        <v>68</v>
      </c>
      <c r="C326" s="57" t="e">
        <f aca="false">tranvalue(D326/$D$279,2)</f>
        <v>#DIV/0!</v>
      </c>
      <c r="D326" s="44"/>
      <c r="E326" s="36"/>
      <c r="F326" s="59" t="e">
        <f aca="false">IF(E326="n.a.","n.a.",tranvalue(E326/($E$320*$F$320)*100,IF(E326/($E$320*$F$320)*100&lt;0.0001,5,IF(E326/($E$320*$F$320)*100&lt;0.001,4,IF(E326/($E$320*$F$320)*100&lt;0.01,3,IF(E326/($E$320*$F$320)*100&lt;0.1,2,IF(E326/($E$320*$F$320)*100&lt;1,1,0)))))))</f>
        <v>#DIV/0!</v>
      </c>
      <c r="G326" s="59" t="str">
        <f aca="false">IF(E326&lt;$D$27,"忽略不计",F326)</f>
        <v>忽略不计</v>
      </c>
      <c r="H326" s="58"/>
      <c r="I326" s="55" t="s">
        <v>68</v>
      </c>
      <c r="J326" s="57" t="e">
        <f aca="false">tranvalue(K326/$K$279,2)</f>
        <v>#DIV/0!</v>
      </c>
      <c r="K326" s="44"/>
      <c r="L326" s="34"/>
      <c r="M326" s="59" t="e">
        <f aca="false">IF(L326="n.a.","n.a.",tranvalue(L326/($L$320*$M$320)*100,IF(L326/($L$320*$M$320)*100&lt;0.0001,5,IF(L326/($L$320*$M$320)*100&lt;0.001,4,IF(L326/($L$320*$M$320)*100&lt;0.01,3,IF(L326/($L$320*$M$320)*100&lt;0.1,2,IF(L326/($L$320*$M$320)*100&lt;1,1,0)))))))</f>
        <v>#DIV/0!</v>
      </c>
      <c r="N326" s="59" t="str">
        <f aca="false">IF(L326&lt;$D$27,"忽略不计",M326)</f>
        <v>忽略不计</v>
      </c>
      <c r="IJ326" s="1"/>
      <c r="IK326" s="1"/>
      <c r="IL326" s="1"/>
    </row>
    <row r="327" customFormat="false" ht="17.15" hidden="false" customHeight="false" outlineLevel="0" collapsed="false">
      <c r="A327" s="58"/>
      <c r="B327" s="55" t="s">
        <v>69</v>
      </c>
      <c r="C327" s="57" t="e">
        <f aca="false">tranvalue(D327/$D$279,2)</f>
        <v>#DIV/0!</v>
      </c>
      <c r="D327" s="44"/>
      <c r="E327" s="36"/>
      <c r="F327" s="59" t="e">
        <f aca="false">IF(E327="n.a.","n.a.",tranvalue(E327/($E$320*$F$320)*100,IF(E327/($E$320*$F$320)*100&lt;0.0001,5,IF(E327/($E$320*$F$320)*100&lt;0.001,4,IF(E327/($E$320*$F$320)*100&lt;0.01,3,IF(E327/($E$320*$F$320)*100&lt;0.1,2,IF(E327/($E$320*$F$320)*100&lt;1,1,0)))))))</f>
        <v>#DIV/0!</v>
      </c>
      <c r="G327" s="59" t="str">
        <f aca="false">IF(E327&lt;$D$27,"忽略不计",F327)</f>
        <v>忽略不计</v>
      </c>
      <c r="H327" s="58"/>
      <c r="I327" s="55" t="s">
        <v>69</v>
      </c>
      <c r="J327" s="57" t="e">
        <f aca="false">tranvalue(K327/$K$279,2)</f>
        <v>#DIV/0!</v>
      </c>
      <c r="K327" s="44"/>
      <c r="L327" s="34"/>
      <c r="M327" s="59" t="e">
        <f aca="false">IF(L327="n.a.","n.a.",tranvalue(L327/($L$320*$M$320)*100,IF(L327/($L$320*$M$320)*100&lt;0.0001,5,IF(L327/($L$320*$M$320)*100&lt;0.001,4,IF(L327/($L$320*$M$320)*100&lt;0.01,3,IF(L327/($L$320*$M$320)*100&lt;0.1,2,IF(L327/($L$320*$M$320)*100&lt;1,1,0)))))))</f>
        <v>#DIV/0!</v>
      </c>
      <c r="N327" s="59" t="str">
        <f aca="false">IF(L327&lt;$D$27,"忽略不计",M327)</f>
        <v>忽略不计</v>
      </c>
      <c r="IJ327" s="1"/>
      <c r="IK327" s="1"/>
      <c r="IL327" s="1"/>
    </row>
    <row r="328" customFormat="false" ht="17.15" hidden="false" customHeight="false" outlineLevel="0" collapsed="false">
      <c r="A328" s="58"/>
      <c r="B328" s="55" t="s">
        <v>70</v>
      </c>
      <c r="C328" s="57" t="e">
        <f aca="false">tranvalue(D328/$D$279,2)</f>
        <v>#DIV/0!</v>
      </c>
      <c r="D328" s="44"/>
      <c r="E328" s="36"/>
      <c r="F328" s="59" t="e">
        <f aca="false">IF(E328="n.a.","n.a.",tranvalue(E328/($E$320*$F$320)*100,IF(E328/($E$320*$F$320)*100&lt;0.0001,5,IF(E328/($E$320*$F$320)*100&lt;0.001,4,IF(E328/($E$320*$F$320)*100&lt;0.01,3,IF(E328/($E$320*$F$320)*100&lt;0.1,2,IF(E328/($E$320*$F$320)*100&lt;1,1,0)))))))</f>
        <v>#DIV/0!</v>
      </c>
      <c r="G328" s="59" t="str">
        <f aca="false">IF(E328&lt;$D$27,"忽略不计",F328)</f>
        <v>忽略不计</v>
      </c>
      <c r="H328" s="58"/>
      <c r="I328" s="55" t="s">
        <v>70</v>
      </c>
      <c r="J328" s="57" t="e">
        <f aca="false">tranvalue(K328/$K$279,2)</f>
        <v>#DIV/0!</v>
      </c>
      <c r="K328" s="44"/>
      <c r="L328" s="34"/>
      <c r="M328" s="59" t="e">
        <f aca="false">IF(L328="n.a.","n.a.",tranvalue(L328/($L$320*$M$320)*100,IF(L328/($L$320*$M$320)*100&lt;0.0001,5,IF(L328/($L$320*$M$320)*100&lt;0.001,4,IF(L328/($L$320*$M$320)*100&lt;0.01,3,IF(L328/($L$320*$M$320)*100&lt;0.1,2,IF(L328/($L$320*$M$320)*100&lt;1,1,0)))))))</f>
        <v>#DIV/0!</v>
      </c>
      <c r="N328" s="59" t="str">
        <f aca="false">IF(L328&lt;$D$27,"忽略不计",M328)</f>
        <v>忽略不计</v>
      </c>
      <c r="IJ328" s="1"/>
      <c r="IK328" s="1"/>
      <c r="IL328" s="1"/>
    </row>
    <row r="329" customFormat="false" ht="17.15" hidden="false" customHeight="false" outlineLevel="0" collapsed="false">
      <c r="A329" s="58"/>
      <c r="B329" s="55" t="s">
        <v>71</v>
      </c>
      <c r="C329" s="57" t="e">
        <f aca="false">tranvalue(D329/$D$279,2)</f>
        <v>#DIV/0!</v>
      </c>
      <c r="D329" s="44"/>
      <c r="E329" s="36"/>
      <c r="F329" s="59" t="e">
        <f aca="false">IF(E329="n.a.","n.a.",tranvalue(E329/($E$320*$F$320)*100,IF(E329/($E$320*$F$320)*100&lt;0.0001,5,IF(E329/($E$320*$F$320)*100&lt;0.001,4,IF(E329/($E$320*$F$320)*100&lt;0.01,3,IF(E329/($E$320*$F$320)*100&lt;0.1,2,IF(E329/($E$320*$F$320)*100&lt;1,1,0)))))))</f>
        <v>#DIV/0!</v>
      </c>
      <c r="G329" s="59" t="str">
        <f aca="false">IF(E329&lt;$D$27,"忽略不计",F329)</f>
        <v>忽略不计</v>
      </c>
      <c r="H329" s="58"/>
      <c r="I329" s="55" t="s">
        <v>71</v>
      </c>
      <c r="J329" s="57" t="e">
        <f aca="false">tranvalue(K329/$K$279,2)</f>
        <v>#DIV/0!</v>
      </c>
      <c r="K329" s="44"/>
      <c r="L329" s="34"/>
      <c r="M329" s="59" t="e">
        <f aca="false">IF(L329="n.a.","n.a.",tranvalue(L329/($L$320*$M$320)*100,IF(L329/($L$320*$M$320)*100&lt;0.0001,5,IF(L329/($L$320*$M$320)*100&lt;0.001,4,IF(L329/($L$320*$M$320)*100&lt;0.01,3,IF(L329/($L$320*$M$320)*100&lt;0.1,2,IF(L329/($L$320*$M$320)*100&lt;1,1,0)))))))</f>
        <v>#DIV/0!</v>
      </c>
      <c r="N329" s="59" t="str">
        <f aca="false">IF(L329&lt;$D$27,"忽略不计",M329)</f>
        <v>忽略不计</v>
      </c>
      <c r="IJ329" s="1"/>
      <c r="IK329" s="1"/>
      <c r="IL329" s="1"/>
    </row>
    <row r="330" customFormat="false" ht="17.15" hidden="false" customHeight="false" outlineLevel="0" collapsed="false">
      <c r="A330" s="58"/>
      <c r="B330" s="55" t="s">
        <v>72</v>
      </c>
      <c r="C330" s="57" t="e">
        <f aca="false">tranvalue(D330/$D$279,2)</f>
        <v>#DIV/0!</v>
      </c>
      <c r="D330" s="44"/>
      <c r="E330" s="36"/>
      <c r="F330" s="59" t="e">
        <f aca="false">IF(E330="n.a.","n.a.",tranvalue(E330/($E$320*$F$320)*100,IF(E330/($E$320*$F$320)*100&lt;0.0001,5,IF(E330/($E$320*$F$320)*100&lt;0.001,4,IF(E330/($E$320*$F$320)*100&lt;0.01,3,IF(E330/($E$320*$F$320)*100&lt;0.1,2,IF(E330/($E$320*$F$320)*100&lt;1,1,0)))))))</f>
        <v>#DIV/0!</v>
      </c>
      <c r="G330" s="59" t="str">
        <f aca="false">IF(E330&lt;$D$27,"忽略不计",F330)</f>
        <v>忽略不计</v>
      </c>
      <c r="H330" s="58"/>
      <c r="I330" s="55" t="s">
        <v>72</v>
      </c>
      <c r="J330" s="57" t="e">
        <f aca="false">tranvalue(K330/$K$279,2)</f>
        <v>#DIV/0!</v>
      </c>
      <c r="K330" s="44"/>
      <c r="L330" s="34"/>
      <c r="M330" s="59" t="e">
        <f aca="false">IF(L330="n.a.","n.a.",tranvalue(L330/($L$320*$M$320)*100,IF(L330/($L$320*$M$320)*100&lt;0.0001,5,IF(L330/($L$320*$M$320)*100&lt;0.001,4,IF(L330/($L$320*$M$320)*100&lt;0.01,3,IF(L330/($L$320*$M$320)*100&lt;0.1,2,IF(L330/($L$320*$M$320)*100&lt;1,1,0)))))))</f>
        <v>#DIV/0!</v>
      </c>
      <c r="N330" s="59" t="str">
        <f aca="false">IF(L330&lt;$D$27,"忽略不计",M330)</f>
        <v>忽略不计</v>
      </c>
      <c r="IJ330" s="1"/>
      <c r="IK330" s="1"/>
      <c r="IL330" s="1"/>
    </row>
    <row r="331" customFormat="false" ht="17.15" hidden="false" customHeight="false" outlineLevel="0" collapsed="false">
      <c r="A331" s="58"/>
      <c r="B331" s="55" t="s">
        <v>73</v>
      </c>
      <c r="C331" s="57" t="e">
        <f aca="false">tranvalue(D331/$D$279,2)</f>
        <v>#DIV/0!</v>
      </c>
      <c r="D331" s="44"/>
      <c r="E331" s="36"/>
      <c r="F331" s="59" t="e">
        <f aca="false">IF(E331="n.a.","n.a.",tranvalue(E331/($E$320*$F$320)*100,IF(E331/($E$320*$F$320)*100&lt;0.0001,5,IF(E331/($E$320*$F$320)*100&lt;0.001,4,IF(E331/($E$320*$F$320)*100&lt;0.01,3,IF(E331/($E$320*$F$320)*100&lt;0.1,2,IF(E331/($E$320*$F$320)*100&lt;1,1,0)))))))</f>
        <v>#DIV/0!</v>
      </c>
      <c r="G331" s="59" t="str">
        <f aca="false">IF(E331&lt;$D$27,"忽略不计",F331)</f>
        <v>忽略不计</v>
      </c>
      <c r="H331" s="58"/>
      <c r="I331" s="55" t="s">
        <v>73</v>
      </c>
      <c r="J331" s="57" t="e">
        <f aca="false">tranvalue(K331/$K$279,2)</f>
        <v>#DIV/0!</v>
      </c>
      <c r="K331" s="44"/>
      <c r="L331" s="34"/>
      <c r="M331" s="59" t="e">
        <f aca="false">IF(L331="n.a.","n.a.",tranvalue(L331/($L$320*$M$320)*100,IF(L331/($L$320*$M$320)*100&lt;0.0001,5,IF(L331/($L$320*$M$320)*100&lt;0.001,4,IF(L331/($L$320*$M$320)*100&lt;0.01,3,IF(L331/($L$320*$M$320)*100&lt;0.1,2,IF(L331/($L$320*$M$320)*100&lt;1,1,0)))))))</f>
        <v>#DIV/0!</v>
      </c>
      <c r="N331" s="59" t="str">
        <f aca="false">IF(L331&lt;$D$27,"忽略不计",M331)</f>
        <v>忽略不计</v>
      </c>
      <c r="IJ331" s="1"/>
      <c r="IK331" s="1"/>
      <c r="IL331" s="1"/>
    </row>
    <row r="332" customFormat="false" ht="17.15" hidden="false" customHeight="false" outlineLevel="0" collapsed="false">
      <c r="A332" s="58"/>
      <c r="B332" s="55" t="s">
        <v>74</v>
      </c>
      <c r="C332" s="57" t="e">
        <f aca="false">tranvalue(D332/$D$279,2)</f>
        <v>#DIV/0!</v>
      </c>
      <c r="D332" s="44"/>
      <c r="E332" s="36"/>
      <c r="F332" s="59" t="e">
        <f aca="false">IF(E332="n.a.","n.a.",tranvalue(E332/($E$320*$F$320)*100,IF(E332/($E$320*$F$320)*100&lt;0.0001,5,IF(E332/($E$320*$F$320)*100&lt;0.001,4,IF(E332/($E$320*$F$320)*100&lt;0.01,3,IF(E332/($E$320*$F$320)*100&lt;0.1,2,IF(E332/($E$320*$F$320)*100&lt;1,1,0)))))))</f>
        <v>#DIV/0!</v>
      </c>
      <c r="G332" s="59" t="str">
        <f aca="false">IF(E332&lt;$D$27,"忽略不计",F332)</f>
        <v>忽略不计</v>
      </c>
      <c r="H332" s="58"/>
      <c r="I332" s="55" t="s">
        <v>74</v>
      </c>
      <c r="J332" s="57" t="e">
        <f aca="false">tranvalue(K332/$K$279,2)</f>
        <v>#DIV/0!</v>
      </c>
      <c r="K332" s="44"/>
      <c r="L332" s="34"/>
      <c r="M332" s="59" t="e">
        <f aca="false">IF(L332="n.a.","n.a.",tranvalue(L332/($L$320*$M$320)*100,IF(L332/($L$320*$M$320)*100&lt;0.0001,5,IF(L332/($L$320*$M$320)*100&lt;0.001,4,IF(L332/($L$320*$M$320)*100&lt;0.01,3,IF(L332/($L$320*$M$320)*100&lt;0.1,2,IF(L332/($L$320*$M$320)*100&lt;1,1,0)))))))</f>
        <v>#DIV/0!</v>
      </c>
      <c r="N332" s="59" t="str">
        <f aca="false">IF(L332&lt;$D$27,"忽略不计",M332)</f>
        <v>忽略不计</v>
      </c>
      <c r="IJ332" s="1"/>
      <c r="IK332" s="1"/>
      <c r="IL332" s="1"/>
    </row>
    <row r="333" customFormat="false" ht="17.15" hidden="false" customHeight="false" outlineLevel="0" collapsed="false">
      <c r="A333" s="58"/>
      <c r="B333" s="55" t="s">
        <v>75</v>
      </c>
      <c r="C333" s="57" t="e">
        <f aca="false">tranvalue(D333/$D$279,2)</f>
        <v>#DIV/0!</v>
      </c>
      <c r="D333" s="44"/>
      <c r="E333" s="36"/>
      <c r="F333" s="59" t="e">
        <f aca="false">IF(E333="n.a.","n.a.",tranvalue(E333/($E$320*$F$320)*100,IF(E333/($E$320*$F$320)*100&lt;0.0001,5,IF(E333/($E$320*$F$320)*100&lt;0.001,4,IF(E333/($E$320*$F$320)*100&lt;0.01,3,IF(E333/($E$320*$F$320)*100&lt;0.1,2,IF(E333/($E$320*$F$320)*100&lt;1,1,0)))))))</f>
        <v>#DIV/0!</v>
      </c>
      <c r="G333" s="59" t="str">
        <f aca="false">IF(E333&lt;$D$27,"忽略不计",F333)</f>
        <v>忽略不计</v>
      </c>
      <c r="H333" s="58"/>
      <c r="I333" s="55" t="s">
        <v>75</v>
      </c>
      <c r="J333" s="57" t="e">
        <f aca="false">tranvalue(K333/$K$279,2)</f>
        <v>#DIV/0!</v>
      </c>
      <c r="K333" s="44"/>
      <c r="L333" s="36"/>
      <c r="M333" s="59" t="e">
        <f aca="false">IF(L333="n.a.","n.a.",tranvalue(L333/($L$320*$M$320)*100,IF(L333/($L$320*$M$320)*100&lt;0.0001,5,IF(L333/($L$320*$M$320)*100&lt;0.001,4,IF(L333/($L$320*$M$320)*100&lt;0.01,3,IF(L333/($L$320*$M$320)*100&lt;0.1,2,IF(L333/($L$320*$M$320)*100&lt;1,1,0)))))))</f>
        <v>#DIV/0!</v>
      </c>
      <c r="N333" s="59" t="str">
        <f aca="false">IF(L333&lt;$D$27,"忽略不计",M333)</f>
        <v>忽略不计</v>
      </c>
      <c r="IJ333" s="1"/>
      <c r="IK333" s="1"/>
      <c r="IL333" s="1"/>
    </row>
    <row r="334" customFormat="false" ht="17.15" hidden="false" customHeight="false" outlineLevel="0" collapsed="false">
      <c r="A334" s="58"/>
      <c r="B334" s="55" t="s">
        <v>76</v>
      </c>
      <c r="C334" s="57" t="e">
        <f aca="false">tranvalue(D334/$D$279,2)</f>
        <v>#DIV/0!</v>
      </c>
      <c r="D334" s="44"/>
      <c r="E334" s="36"/>
      <c r="F334" s="59" t="e">
        <f aca="false">IF(E334="n.a.","n.a.",tranvalue(E334/($E$320*$F$320)*100,IF(E334/($E$320*$F$320)*100&lt;0.0001,5,IF(E334/($E$320*$F$320)*100&lt;0.001,4,IF(E334/($E$320*$F$320)*100&lt;0.01,3,IF(E334/($E$320*$F$320)*100&lt;0.1,2,IF(E334/($E$320*$F$320)*100&lt;1,1,0)))))))</f>
        <v>#DIV/0!</v>
      </c>
      <c r="G334" s="59" t="str">
        <f aca="false">IF(E334&lt;$D$27,"忽略不计",F334)</f>
        <v>忽略不计</v>
      </c>
      <c r="H334" s="58"/>
      <c r="I334" s="55" t="s">
        <v>76</v>
      </c>
      <c r="J334" s="57" t="e">
        <f aca="false">tranvalue(K334/$K$279,2)</f>
        <v>#DIV/0!</v>
      </c>
      <c r="K334" s="44"/>
      <c r="L334" s="36"/>
      <c r="M334" s="59" t="e">
        <f aca="false">IF(L334="n.a.","n.a.",tranvalue(L334/($L$320*$M$320)*100,IF(L334/($L$320*$M$320)*100&lt;0.0001,5,IF(L334/($L$320*$M$320)*100&lt;0.001,4,IF(L334/($L$320*$M$320)*100&lt;0.01,3,IF(L334/($L$320*$M$320)*100&lt;0.1,2,IF(L334/($L$320*$M$320)*100&lt;1,1,0)))))))</f>
        <v>#DIV/0!</v>
      </c>
      <c r="N334" s="59" t="str">
        <f aca="false">IF(L334&lt;$D$27,"忽略不计",M334)</f>
        <v>忽略不计</v>
      </c>
      <c r="IJ334" s="1"/>
      <c r="IK334" s="1"/>
      <c r="IL334" s="1"/>
    </row>
    <row r="335" customFormat="false" ht="17.15" hidden="false" customHeight="false" outlineLevel="0" collapsed="false">
      <c r="A335" s="58"/>
      <c r="B335" s="55" t="s">
        <v>77</v>
      </c>
      <c r="C335" s="57" t="e">
        <f aca="false">tranvalue(D335/$D$279,2)</f>
        <v>#DIV/0!</v>
      </c>
      <c r="D335" s="44"/>
      <c r="E335" s="36"/>
      <c r="F335" s="59" t="e">
        <f aca="false">IF(E335="n.a.","n.a.",tranvalue(E335/($E$320*$F$320)*100,IF(E335/($E$320*$F$320)*100&lt;0.0001,5,IF(E335/($E$320*$F$320)*100&lt;0.001,4,IF(E335/($E$320*$F$320)*100&lt;0.01,3,IF(E335/($E$320*$F$320)*100&lt;0.1,2,IF(E335/($E$320*$F$320)*100&lt;1,1,0)))))))</f>
        <v>#DIV/0!</v>
      </c>
      <c r="G335" s="59" t="str">
        <f aca="false">IF(E335&lt;$D$27,"忽略不计",F335)</f>
        <v>忽略不计</v>
      </c>
      <c r="H335" s="58"/>
      <c r="I335" s="55" t="s">
        <v>77</v>
      </c>
      <c r="J335" s="57" t="e">
        <f aca="false">tranvalue(K335/$K$279,2)</f>
        <v>#DIV/0!</v>
      </c>
      <c r="K335" s="44"/>
      <c r="L335" s="36"/>
      <c r="M335" s="59" t="e">
        <f aca="false">IF(L335="n.a.","n.a.",tranvalue(L335/($L$320*$M$320)*100,IF(L335/($L$320*$M$320)*100&lt;0.0001,5,IF(L335/($L$320*$M$320)*100&lt;0.001,4,IF(L335/($L$320*$M$320)*100&lt;0.01,3,IF(L335/($L$320*$M$320)*100&lt;0.1,2,IF(L335/($L$320*$M$320)*100&lt;1,1,0)))))))</f>
        <v>#DIV/0!</v>
      </c>
      <c r="N335" s="59" t="str">
        <f aca="false">IF(L335&lt;$D$27,"忽略不计",M335)</f>
        <v>忽略不计</v>
      </c>
      <c r="IJ335" s="1"/>
      <c r="IK335" s="1"/>
      <c r="IL335" s="1"/>
    </row>
    <row r="336" customFormat="false" ht="17.15" hidden="false" customHeight="false" outlineLevel="0" collapsed="false">
      <c r="A336" s="58"/>
      <c r="B336" s="55" t="s">
        <v>78</v>
      </c>
      <c r="C336" s="57" t="e">
        <f aca="false">tranvalue(D336/$D$279,2)</f>
        <v>#DIV/0!</v>
      </c>
      <c r="D336" s="44"/>
      <c r="E336" s="36"/>
      <c r="F336" s="59" t="e">
        <f aca="false">IF(E336="n.a.","n.a.",tranvalue(E336/($E$320*$F$320)*100,IF(E336/($E$320*$F$320)*100&lt;0.0001,5,IF(E336/($E$320*$F$320)*100&lt;0.001,4,IF(E336/($E$320*$F$320)*100&lt;0.01,3,IF(E336/($E$320*$F$320)*100&lt;0.1,2,IF(E336/($E$320*$F$320)*100&lt;1,1,0)))))))</f>
        <v>#DIV/0!</v>
      </c>
      <c r="G336" s="59" t="str">
        <f aca="false">IF(E336&lt;$D$27,"忽略不计",F336)</f>
        <v>忽略不计</v>
      </c>
      <c r="H336" s="58"/>
      <c r="I336" s="55" t="s">
        <v>78</v>
      </c>
      <c r="J336" s="57" t="e">
        <f aca="false">tranvalue(K336/$K$279,2)</f>
        <v>#DIV/0!</v>
      </c>
      <c r="K336" s="44"/>
      <c r="L336" s="36"/>
      <c r="M336" s="59" t="e">
        <f aca="false">IF(L336="n.a.","n.a.",tranvalue(L336/($L$320*$M$320)*100,IF(L336/($L$320*$M$320)*100&lt;0.0001,5,IF(L336/($L$320*$M$320)*100&lt;0.001,4,IF(L336/($L$320*$M$320)*100&lt;0.01,3,IF(L336/($L$320*$M$320)*100&lt;0.1,2,IF(L336/($L$320*$M$320)*100&lt;1,1,0)))))))</f>
        <v>#DIV/0!</v>
      </c>
      <c r="N336" s="59" t="str">
        <f aca="false">IF(L336&lt;$D$27,"忽略不计",M336)</f>
        <v>忽略不计</v>
      </c>
      <c r="IJ336" s="1"/>
      <c r="IK336" s="1"/>
      <c r="IL336" s="1"/>
    </row>
    <row r="337" customFormat="false" ht="17.15" hidden="false" customHeight="false" outlineLevel="0" collapsed="false">
      <c r="A337" s="58"/>
      <c r="B337" s="55" t="s">
        <v>79</v>
      </c>
      <c r="C337" s="57" t="e">
        <f aca="false">tranvalue(D337/$D$279,2)</f>
        <v>#DIV/0!</v>
      </c>
      <c r="D337" s="44"/>
      <c r="E337" s="36"/>
      <c r="F337" s="59" t="e">
        <f aca="false">IF(E337="n.a.","n.a.",tranvalue(E337/($E$320*$F$320)*100,IF(E337/($E$320*$F$320)*100&lt;0.0001,5,IF(E337/($E$320*$F$320)*100&lt;0.001,4,IF(E337/($E$320*$F$320)*100&lt;0.01,3,IF(E337/($E$320*$F$320)*100&lt;0.1,2,IF(E337/($E$320*$F$320)*100&lt;1,1,0)))))))</f>
        <v>#DIV/0!</v>
      </c>
      <c r="G337" s="59" t="str">
        <f aca="false">IF(E337&lt;$D$27,"忽略不计",F337)</f>
        <v>忽略不计</v>
      </c>
      <c r="H337" s="58"/>
      <c r="I337" s="55" t="s">
        <v>79</v>
      </c>
      <c r="J337" s="57" t="e">
        <f aca="false">tranvalue(K337/$K$279,2)</f>
        <v>#DIV/0!</v>
      </c>
      <c r="K337" s="44"/>
      <c r="L337" s="36"/>
      <c r="M337" s="59" t="e">
        <f aca="false">IF(L337="n.a.","n.a.",tranvalue(L337/($L$320*$M$320)*100,IF(L337/($L$320*$M$320)*100&lt;0.0001,5,IF(L337/($L$320*$M$320)*100&lt;0.001,4,IF(L337/($L$320*$M$320)*100&lt;0.01,3,IF(L337/($L$320*$M$320)*100&lt;0.1,2,IF(L337/($L$320*$M$320)*100&lt;1,1,0)))))))</f>
        <v>#DIV/0!</v>
      </c>
      <c r="N337" s="59" t="str">
        <f aca="false">IF(L337&lt;$D$27,"忽略不计",M337)</f>
        <v>忽略不计</v>
      </c>
      <c r="IJ337" s="1"/>
      <c r="IK337" s="1"/>
      <c r="IL337" s="1"/>
    </row>
    <row r="338" customFormat="false" ht="17.15" hidden="false" customHeight="false" outlineLevel="0" collapsed="false">
      <c r="A338" s="58"/>
      <c r="B338" s="55" t="s">
        <v>80</v>
      </c>
      <c r="C338" s="57" t="e">
        <f aca="false">tranvalue(D338/$D$279,2)</f>
        <v>#DIV/0!</v>
      </c>
      <c r="D338" s="44"/>
      <c r="E338" s="36"/>
      <c r="F338" s="59" t="e">
        <f aca="false">IF(E338="n.a.","n.a.",tranvalue(E338/($E$320*$F$320)*100,IF(E338/($E$320*$F$320)*100&lt;0.0001,5,IF(E338/($E$320*$F$320)*100&lt;0.001,4,IF(E338/($E$320*$F$320)*100&lt;0.01,3,IF(E338/($E$320*$F$320)*100&lt;0.1,2,IF(E338/($E$320*$F$320)*100&lt;1,1,0)))))))</f>
        <v>#DIV/0!</v>
      </c>
      <c r="G338" s="59" t="str">
        <f aca="false">IF(E338&lt;$D$27,"忽略不计",F338)</f>
        <v>忽略不计</v>
      </c>
      <c r="H338" s="58"/>
      <c r="I338" s="55" t="s">
        <v>80</v>
      </c>
      <c r="J338" s="57" t="e">
        <f aca="false">tranvalue(K338/$K$279,2)</f>
        <v>#DIV/0!</v>
      </c>
      <c r="K338" s="44"/>
      <c r="L338" s="36"/>
      <c r="M338" s="59" t="e">
        <f aca="false">IF(L338="n.a.","n.a.",tranvalue(L338/($L$320*$M$320)*100,IF(L338/($L$320*$M$320)*100&lt;0.0001,5,IF(L338/($L$320*$M$320)*100&lt;0.001,4,IF(L338/($L$320*$M$320)*100&lt;0.01,3,IF(L338/($L$320*$M$320)*100&lt;0.1,2,IF(L338/($L$320*$M$320)*100&lt;1,1,0)))))))</f>
        <v>#DIV/0!</v>
      </c>
      <c r="N338" s="59" t="str">
        <f aca="false">IF(L338&lt;$D$27,"忽略不计",M338)</f>
        <v>忽略不计</v>
      </c>
      <c r="IJ338" s="1"/>
      <c r="IK338" s="1"/>
      <c r="IL338" s="1"/>
    </row>
    <row r="339" customFormat="false" ht="17.15" hidden="false" customHeight="false" outlineLevel="0" collapsed="false">
      <c r="A339" s="58"/>
      <c r="B339" s="55" t="s">
        <v>81</v>
      </c>
      <c r="C339" s="57" t="e">
        <f aca="false">tranvalue(D339/$D$279,2)</f>
        <v>#DIV/0!</v>
      </c>
      <c r="D339" s="44"/>
      <c r="E339" s="36"/>
      <c r="F339" s="59" t="e">
        <f aca="false">IF(E339="n.a.","n.a.",tranvalue(E339/($E$320*$F$320)*100,IF(E339/($E$320*$F$320)*100&lt;0.0001,5,IF(E339/($E$320*$F$320)*100&lt;0.001,4,IF(E339/($E$320*$F$320)*100&lt;0.01,3,IF(E339/($E$320*$F$320)*100&lt;0.1,2,IF(E339/($E$320*$F$320)*100&lt;1,1,0)))))))</f>
        <v>#DIV/0!</v>
      </c>
      <c r="G339" s="59" t="str">
        <f aca="false">IF(E339&lt;$D$27,"忽略不计",F339)</f>
        <v>忽略不计</v>
      </c>
      <c r="H339" s="58"/>
      <c r="I339" s="55" t="s">
        <v>81</v>
      </c>
      <c r="J339" s="57" t="e">
        <f aca="false">tranvalue(K339/$K$279,2)</f>
        <v>#DIV/0!</v>
      </c>
      <c r="K339" s="44"/>
      <c r="L339" s="36"/>
      <c r="M339" s="59" t="e">
        <f aca="false">IF(L339="n.a.","n.a.",tranvalue(L339/($L$320*$M$320)*100,IF(L339/($L$320*$M$320)*100&lt;0.0001,5,IF(L339/($L$320*$M$320)*100&lt;0.001,4,IF(L339/($L$320*$M$320)*100&lt;0.01,3,IF(L339/($L$320*$M$320)*100&lt;0.1,2,IF(L339/($L$320*$M$320)*100&lt;1,1,0)))))))</f>
        <v>#DIV/0!</v>
      </c>
      <c r="N339" s="59" t="str">
        <f aca="false">IF(L339&lt;$D$27,"忽略不计",M339)</f>
        <v>忽略不计</v>
      </c>
      <c r="IJ339" s="1"/>
      <c r="IK339" s="1"/>
      <c r="IL339" s="1"/>
    </row>
    <row r="340" customFormat="false" ht="17.15" hidden="false" customHeight="false" outlineLevel="0" collapsed="false">
      <c r="A340" s="58"/>
      <c r="B340" s="55" t="s">
        <v>82</v>
      </c>
      <c r="C340" s="57" t="e">
        <f aca="false">tranvalue(D340/$D$279,2)</f>
        <v>#DIV/0!</v>
      </c>
      <c r="D340" s="44"/>
      <c r="E340" s="36"/>
      <c r="F340" s="59" t="e">
        <f aca="false">IF(E340="n.a.","n.a.",tranvalue(E340/($E$320*$F$320)*100,IF(E340/($E$320*$F$320)*100&lt;0.0001,5,IF(E340/($E$320*$F$320)*100&lt;0.001,4,IF(E340/($E$320*$F$320)*100&lt;0.01,3,IF(E340/($E$320*$F$320)*100&lt;0.1,2,IF(E340/($E$320*$F$320)*100&lt;1,1,0)))))))</f>
        <v>#DIV/0!</v>
      </c>
      <c r="G340" s="59" t="str">
        <f aca="false">IF(E340&lt;$D$27,"忽略不计",F340)</f>
        <v>忽略不计</v>
      </c>
      <c r="H340" s="58"/>
      <c r="I340" s="55" t="s">
        <v>82</v>
      </c>
      <c r="J340" s="57" t="e">
        <f aca="false">tranvalue(K340/$K$279,2)</f>
        <v>#DIV/0!</v>
      </c>
      <c r="K340" s="44"/>
      <c r="L340" s="36"/>
      <c r="M340" s="59" t="e">
        <f aca="false">IF(L340="n.a.","n.a.",tranvalue(L340/($L$320*$M$320)*100,IF(L340/($L$320*$M$320)*100&lt;0.0001,5,IF(L340/($L$320*$M$320)*100&lt;0.001,4,IF(L340/($L$320*$M$320)*100&lt;0.01,3,IF(L340/($L$320*$M$320)*100&lt;0.1,2,IF(L340/($L$320*$M$320)*100&lt;1,1,0)))))))</f>
        <v>#DIV/0!</v>
      </c>
      <c r="N340" s="59" t="str">
        <f aca="false">IF(L340&lt;$D$27,"忽略不计",M340)</f>
        <v>忽略不计</v>
      </c>
      <c r="IJ340" s="1"/>
      <c r="IK340" s="1"/>
      <c r="IL340" s="1"/>
    </row>
    <row r="341" customFormat="false" ht="17.15" hidden="false" customHeight="false" outlineLevel="0" collapsed="false">
      <c r="A341" s="58"/>
      <c r="B341" s="55" t="s">
        <v>83</v>
      </c>
      <c r="C341" s="57" t="e">
        <f aca="false">tranvalue(D341/$D$279,2)</f>
        <v>#DIV/0!</v>
      </c>
      <c r="D341" s="44"/>
      <c r="E341" s="36"/>
      <c r="F341" s="59" t="e">
        <f aca="false">IF(E341="n.a.","n.a.",tranvalue(E341/($E$320*$F$320)*100,IF(E341/($E$320*$F$320)*100&lt;0.0001,5,IF(E341/($E$320*$F$320)*100&lt;0.001,4,IF(E341/($E$320*$F$320)*100&lt;0.01,3,IF(E341/($E$320*$F$320)*100&lt;0.1,2,IF(E341/($E$320*$F$320)*100&lt;1,1,0)))))))</f>
        <v>#DIV/0!</v>
      </c>
      <c r="G341" s="59" t="str">
        <f aca="false">IF(E341&lt;$D$27,"忽略不计",F341)</f>
        <v>忽略不计</v>
      </c>
      <c r="H341" s="58"/>
      <c r="I341" s="55" t="s">
        <v>83</v>
      </c>
      <c r="J341" s="57" t="e">
        <f aca="false">tranvalue(K341/$K$279,2)</f>
        <v>#DIV/0!</v>
      </c>
      <c r="K341" s="44"/>
      <c r="L341" s="36"/>
      <c r="M341" s="59" t="e">
        <f aca="false">IF(L341="n.a.","n.a.",tranvalue(L341/($L$320*$M$320)*100,IF(L341/($L$320*$M$320)*100&lt;0.0001,5,IF(L341/($L$320*$M$320)*100&lt;0.001,4,IF(L341/($L$320*$M$320)*100&lt;0.01,3,IF(L341/($L$320*$M$320)*100&lt;0.1,2,IF(L341/($L$320*$M$320)*100&lt;1,1,0)))))))</f>
        <v>#DIV/0!</v>
      </c>
      <c r="N341" s="59" t="str">
        <f aca="false">IF(L341&lt;$D$27,"忽略不计",M341)</f>
        <v>忽略不计</v>
      </c>
      <c r="IJ341" s="1"/>
      <c r="IK341" s="1"/>
      <c r="IL341" s="1"/>
    </row>
    <row r="342" customFormat="false" ht="17.15" hidden="false" customHeight="false" outlineLevel="0" collapsed="false">
      <c r="A342" s="58"/>
      <c r="B342" s="55" t="s">
        <v>84</v>
      </c>
      <c r="C342" s="57" t="e">
        <f aca="false">tranvalue(D342/$D$279,2)</f>
        <v>#DIV/0!</v>
      </c>
      <c r="D342" s="60"/>
      <c r="E342" s="62"/>
      <c r="F342" s="59" t="e">
        <f aca="false">IF(E342="n.a.","n.a.",tranvalue(E342/($E$320*$F$320)*100,IF(E342/($E$320*$F$320)*100&lt;0.0001,5,IF(E342/($E$320*$F$320)*100&lt;0.001,4,IF(E342/($E$320*$F$320)*100&lt;0.01,3,IF(E342/($E$320*$F$320)*100&lt;0.1,2,IF(E342/($E$320*$F$320)*100&lt;1,1,0)))))))</f>
        <v>#DIV/0!</v>
      </c>
      <c r="G342" s="59" t="str">
        <f aca="false">IF(E342&lt;$D$27,"忽略不计",F342)</f>
        <v>忽略不计</v>
      </c>
      <c r="H342" s="58"/>
      <c r="I342" s="55" t="s">
        <v>84</v>
      </c>
      <c r="J342" s="57" t="e">
        <f aca="false">tranvalue(K342/$K$279,2)</f>
        <v>#DIV/0!</v>
      </c>
      <c r="K342" s="60"/>
      <c r="L342" s="62"/>
      <c r="M342" s="59" t="e">
        <f aca="false">IF(L342="n.a.","n.a.",tranvalue(L342/($L$320*$M$320)*100,IF(L342/($L$320*$M$320)*100&lt;0.0001,5,IF(L342/($L$320*$M$320)*100&lt;0.001,4,IF(L342/($L$320*$M$320)*100&lt;0.01,3,IF(L342/($L$320*$M$320)*100&lt;0.1,2,IF(L342/($L$320*$M$320)*100&lt;1,1,0)))))))</f>
        <v>#DIV/0!</v>
      </c>
      <c r="N342" s="59" t="str">
        <f aca="false">IF(L342&lt;$D$27,"忽略不计",M342)</f>
        <v>忽略不计</v>
      </c>
      <c r="IJ342" s="1"/>
      <c r="IK342" s="1"/>
      <c r="IL342" s="1"/>
    </row>
    <row r="343" customFormat="false" ht="29.1" hidden="false" customHeight="true" outlineLevel="0" collapsed="false">
      <c r="A343" s="55" t="s">
        <v>85</v>
      </c>
      <c r="B343" s="56" t="s">
        <v>86</v>
      </c>
      <c r="C343" s="56"/>
      <c r="D343" s="56"/>
      <c r="E343" s="56"/>
      <c r="F343" s="63" t="e">
        <f aca="false">MAX(F323:F342)</f>
        <v>#DIV/0!</v>
      </c>
      <c r="G343" s="59" t="str">
        <f aca="false">IF(MAX(E323:E342)&lt;$D$27,"忽略不计",F343)</f>
        <v>忽略不计</v>
      </c>
      <c r="H343" s="55" t="s">
        <v>85</v>
      </c>
      <c r="I343" s="56" t="s">
        <v>86</v>
      </c>
      <c r="J343" s="56"/>
      <c r="K343" s="56"/>
      <c r="L343" s="56"/>
      <c r="M343" s="63" t="e">
        <f aca="false">MAX(M323:M342)</f>
        <v>#DIV/0!</v>
      </c>
      <c r="N343" s="59" t="str">
        <f aca="false">IF(MAX(L323:L342)&lt;$D$27,"忽略不计",M343)</f>
        <v>忽略不计</v>
      </c>
      <c r="IJ343" s="1"/>
    </row>
    <row r="344" customFormat="false" ht="17.15" hidden="false" customHeight="true" outlineLevel="0" collapsed="false">
      <c r="A344" s="55"/>
      <c r="B344" s="56" t="s">
        <v>87</v>
      </c>
      <c r="C344" s="56"/>
      <c r="D344" s="56"/>
      <c r="E344" s="56"/>
      <c r="F344" s="63" t="e">
        <f aca="false">IF(SUM(F322:F342)=0,0,tranvalue(SUM(F322:F342),IF(SUM(F322:F342)&lt;0.0001,6,IF(SUM(F322:F342)&lt;0.001,5,IF(SUM(F322:F342)&lt;0.01,4,IF(SUM(F322:F342)&lt;0.1,3,IF(SUM(F322:F342)&lt;1,2,1)))))))</f>
        <v>#DIV/0!</v>
      </c>
      <c r="G344" s="63"/>
      <c r="H344" s="55"/>
      <c r="I344" s="56" t="s">
        <v>87</v>
      </c>
      <c r="J344" s="56"/>
      <c r="K344" s="56"/>
      <c r="L344" s="56"/>
      <c r="M344" s="63" t="e">
        <f aca="false">IF(SUM(M322:M342)=0,0,tranvalue(SUM(M322:M342),IF(SUM(M322:M342)&lt;0.0001,6,IF(SUM(M322:M342)&lt;0.001,5,IF(SUM(M322:M342)&lt;0.01,4,IF(SUM(M322:M342)&lt;0.1,3,IF(SUM(M322:M342)&lt;1,2,1)))))))</f>
        <v>#DIV/0!</v>
      </c>
      <c r="N344" s="63"/>
      <c r="IJ344" s="1"/>
    </row>
    <row r="345" customFormat="false" ht="17.15" hidden="false" customHeight="true" outlineLevel="0" collapsed="false">
      <c r="A345" s="55"/>
      <c r="B345" s="56" t="s">
        <v>88</v>
      </c>
      <c r="C345" s="56"/>
      <c r="D345" s="56"/>
      <c r="E345" s="56"/>
      <c r="F345" s="63" t="str">
        <f aca="false">IF(SUM(G322:G342)=0,"0",tranvalue(SUM(G322:G342),IF(SUM(G322:G342)&lt;0.0001,6,IF(SUM(G322:G342)&lt;0.001,5,IF(SUM(G322:G342)&lt;0.01,4,IF(SUM(G322:G342)&lt;0.1,3,IF(SUM(G322:G342)&lt;1,2,1)))))))</f>
        <v>0</v>
      </c>
      <c r="G345" s="63"/>
      <c r="H345" s="55"/>
      <c r="I345" s="56" t="s">
        <v>88</v>
      </c>
      <c r="J345" s="56"/>
      <c r="K345" s="56"/>
      <c r="L345" s="56"/>
      <c r="M345" s="63" t="str">
        <f aca="false">IF(SUM(N322:N342)=0,"0",tranvalue(SUM(N322:N342),IF(SUM(N322:N342)&lt;0.0001,6,IF(SUM(N322:N342)&lt;0.001,5,IF(SUM(N322:N342)&lt;0.01,4,IF(SUM(N322:N342)&lt;0.1,3,IF(SUM(N322:N342)&lt;1,2,1)))))))</f>
        <v>0</v>
      </c>
      <c r="N345" s="63"/>
      <c r="IJ345" s="1"/>
    </row>
    <row r="346" customFormat="false" ht="13.8" hidden="false" customHeight="false" outlineLevel="0" collapsed="false">
      <c r="IJ346" s="1"/>
    </row>
    <row r="347" customFormat="false" ht="14.25" hidden="false" customHeight="true" outlineLevel="0" collapsed="false">
      <c r="B347" s="1" t="s">
        <v>89</v>
      </c>
      <c r="F347" s="64"/>
      <c r="IJ347" s="1"/>
    </row>
    <row r="348" customFormat="false" ht="13.8" hidden="false" customHeight="false" outlineLevel="0" collapsed="false">
      <c r="IJ348" s="1"/>
    </row>
    <row r="349" customFormat="false" ht="13.8" hidden="false" customHeight="false" outlineLevel="0" collapsed="false">
      <c r="IJ349" s="1"/>
    </row>
    <row r="350" customFormat="false" ht="13.8" hidden="false" customHeight="false" outlineLevel="0" collapsed="false">
      <c r="IJ350" s="1"/>
    </row>
    <row r="351" customFormat="false" ht="13.8" hidden="false" customHeight="false" outlineLevel="0" collapsed="false">
      <c r="IJ351" s="1"/>
    </row>
    <row r="352" customFormat="false" ht="13.8" hidden="false" customHeight="false" outlineLevel="0" collapsed="false">
      <c r="B352" s="1" t="s">
        <v>90</v>
      </c>
      <c r="IJ352" s="1"/>
    </row>
    <row r="353" customFormat="false" ht="13.8" hidden="false" customHeight="false" outlineLevel="0" collapsed="false">
      <c r="IJ353" s="1"/>
    </row>
    <row r="354" customFormat="false" ht="13.8" hidden="false" customHeight="false" outlineLevel="0" collapsed="false">
      <c r="IJ354" s="1"/>
    </row>
    <row r="355" customFormat="false" ht="13.8" hidden="false" customHeight="false" outlineLevel="0" collapsed="false">
      <c r="IJ355" s="1"/>
    </row>
    <row r="356" customFormat="false" ht="17.15" hidden="false" customHeight="false" outlineLevel="0" collapsed="false">
      <c r="A356" s="1" t="s">
        <v>91</v>
      </c>
      <c r="D356" s="2"/>
      <c r="H356" s="1" t="s">
        <v>92</v>
      </c>
      <c r="IJ356" s="1"/>
    </row>
  </sheetData>
  <mergeCells count="189">
    <mergeCell ref="A1:I2"/>
    <mergeCell ref="H3:I3"/>
    <mergeCell ref="A4:A8"/>
    <mergeCell ref="C4:I4"/>
    <mergeCell ref="C5:I5"/>
    <mergeCell ref="C6:I6"/>
    <mergeCell ref="C7:I7"/>
    <mergeCell ref="C8:I8"/>
    <mergeCell ref="B9:I9"/>
    <mergeCell ref="A10:I10"/>
    <mergeCell ref="A11:B11"/>
    <mergeCell ref="A12:B13"/>
    <mergeCell ref="C12:C13"/>
    <mergeCell ref="D12:D13"/>
    <mergeCell ref="A14:B14"/>
    <mergeCell ref="A15:I15"/>
    <mergeCell ref="A16:B16"/>
    <mergeCell ref="A17:B17"/>
    <mergeCell ref="A18:I18"/>
    <mergeCell ref="A19:B19"/>
    <mergeCell ref="A20:B20"/>
    <mergeCell ref="A21:B21"/>
    <mergeCell ref="A22:B22"/>
    <mergeCell ref="A23:B23"/>
    <mergeCell ref="A24:B24"/>
    <mergeCell ref="A25:E25"/>
    <mergeCell ref="F25:I27"/>
    <mergeCell ref="A26:B26"/>
    <mergeCell ref="A27:B27"/>
    <mergeCell ref="B31:G31"/>
    <mergeCell ref="I31:N31"/>
    <mergeCell ref="F32:G32"/>
    <mergeCell ref="M32:N32"/>
    <mergeCell ref="F33:G33"/>
    <mergeCell ref="M33:N33"/>
    <mergeCell ref="A36:A55"/>
    <mergeCell ref="H36:H55"/>
    <mergeCell ref="A56:A58"/>
    <mergeCell ref="B56:E56"/>
    <mergeCell ref="H56:H58"/>
    <mergeCell ref="I56:L56"/>
    <mergeCell ref="B57:E57"/>
    <mergeCell ref="F57:G57"/>
    <mergeCell ref="I57:L57"/>
    <mergeCell ref="M57:N57"/>
    <mergeCell ref="B58:E58"/>
    <mergeCell ref="F58:G58"/>
    <mergeCell ref="I58:L58"/>
    <mergeCell ref="M58:N58"/>
    <mergeCell ref="B72:G72"/>
    <mergeCell ref="I72:N72"/>
    <mergeCell ref="F73:G73"/>
    <mergeCell ref="M73:N73"/>
    <mergeCell ref="F74:G74"/>
    <mergeCell ref="M74:N74"/>
    <mergeCell ref="A77:A96"/>
    <mergeCell ref="H77:H96"/>
    <mergeCell ref="A97:A99"/>
    <mergeCell ref="B97:E97"/>
    <mergeCell ref="H97:H99"/>
    <mergeCell ref="I97:L97"/>
    <mergeCell ref="B98:E98"/>
    <mergeCell ref="F98:G98"/>
    <mergeCell ref="I98:L98"/>
    <mergeCell ref="M98:N98"/>
    <mergeCell ref="B99:E99"/>
    <mergeCell ref="F99:G99"/>
    <mergeCell ref="I99:L99"/>
    <mergeCell ref="M99:N99"/>
    <mergeCell ref="B113:G113"/>
    <mergeCell ref="I113:N113"/>
    <mergeCell ref="F114:G114"/>
    <mergeCell ref="M114:N114"/>
    <mergeCell ref="F115:G115"/>
    <mergeCell ref="M115:N115"/>
    <mergeCell ref="A118:A137"/>
    <mergeCell ref="H118:H137"/>
    <mergeCell ref="A138:A140"/>
    <mergeCell ref="B138:E138"/>
    <mergeCell ref="H138:H140"/>
    <mergeCell ref="I138:L138"/>
    <mergeCell ref="B139:E139"/>
    <mergeCell ref="F139:G139"/>
    <mergeCell ref="I139:L139"/>
    <mergeCell ref="M139:N139"/>
    <mergeCell ref="B140:E140"/>
    <mergeCell ref="F140:G140"/>
    <mergeCell ref="I140:L140"/>
    <mergeCell ref="M140:N140"/>
    <mergeCell ref="B154:G154"/>
    <mergeCell ref="I154:N154"/>
    <mergeCell ref="F155:G155"/>
    <mergeCell ref="M155:N155"/>
    <mergeCell ref="F156:G156"/>
    <mergeCell ref="M156:N156"/>
    <mergeCell ref="A159:A178"/>
    <mergeCell ref="H159:H178"/>
    <mergeCell ref="A179:A181"/>
    <mergeCell ref="B179:E179"/>
    <mergeCell ref="H179:H181"/>
    <mergeCell ref="I179:L179"/>
    <mergeCell ref="B180:E180"/>
    <mergeCell ref="F180:G180"/>
    <mergeCell ref="I180:L180"/>
    <mergeCell ref="M180:N180"/>
    <mergeCell ref="B181:E181"/>
    <mergeCell ref="F181:G181"/>
    <mergeCell ref="I181:L181"/>
    <mergeCell ref="M181:N181"/>
    <mergeCell ref="B195:G195"/>
    <mergeCell ref="I195:N195"/>
    <mergeCell ref="F196:G196"/>
    <mergeCell ref="M196:N196"/>
    <mergeCell ref="F197:G197"/>
    <mergeCell ref="M197:N197"/>
    <mergeCell ref="A200:A219"/>
    <mergeCell ref="H200:H219"/>
    <mergeCell ref="A220:A222"/>
    <mergeCell ref="B220:E220"/>
    <mergeCell ref="H220:H222"/>
    <mergeCell ref="I220:L220"/>
    <mergeCell ref="B221:E221"/>
    <mergeCell ref="F221:G221"/>
    <mergeCell ref="I221:L221"/>
    <mergeCell ref="M221:N221"/>
    <mergeCell ref="B222:E222"/>
    <mergeCell ref="F222:G222"/>
    <mergeCell ref="I222:L222"/>
    <mergeCell ref="M222:N222"/>
    <mergeCell ref="B236:G236"/>
    <mergeCell ref="I236:N236"/>
    <mergeCell ref="F237:G237"/>
    <mergeCell ref="M237:N237"/>
    <mergeCell ref="F238:G238"/>
    <mergeCell ref="M238:N238"/>
    <mergeCell ref="A241:A260"/>
    <mergeCell ref="H241:H260"/>
    <mergeCell ref="A261:A263"/>
    <mergeCell ref="B261:E261"/>
    <mergeCell ref="H261:H263"/>
    <mergeCell ref="I261:L261"/>
    <mergeCell ref="B262:E262"/>
    <mergeCell ref="F262:G262"/>
    <mergeCell ref="I262:L262"/>
    <mergeCell ref="M262:N262"/>
    <mergeCell ref="B263:E263"/>
    <mergeCell ref="F263:G263"/>
    <mergeCell ref="I263:L263"/>
    <mergeCell ref="M263:N263"/>
    <mergeCell ref="B277:G277"/>
    <mergeCell ref="I277:N277"/>
    <mergeCell ref="F278:G278"/>
    <mergeCell ref="M278:N278"/>
    <mergeCell ref="F279:G279"/>
    <mergeCell ref="M279:N279"/>
    <mergeCell ref="A282:A301"/>
    <mergeCell ref="H282:H301"/>
    <mergeCell ref="A302:A304"/>
    <mergeCell ref="B302:E302"/>
    <mergeCell ref="H302:H304"/>
    <mergeCell ref="I302:L302"/>
    <mergeCell ref="B303:E303"/>
    <mergeCell ref="F303:G303"/>
    <mergeCell ref="I303:L303"/>
    <mergeCell ref="M303:N303"/>
    <mergeCell ref="B304:E304"/>
    <mergeCell ref="F304:G304"/>
    <mergeCell ref="I304:L304"/>
    <mergeCell ref="M304:N304"/>
    <mergeCell ref="B318:G318"/>
    <mergeCell ref="I318:N318"/>
    <mergeCell ref="F319:G319"/>
    <mergeCell ref="M319:N319"/>
    <mergeCell ref="F320:G320"/>
    <mergeCell ref="M320:N320"/>
    <mergeCell ref="A323:A342"/>
    <mergeCell ref="H323:H342"/>
    <mergeCell ref="A343:A345"/>
    <mergeCell ref="B343:E343"/>
    <mergeCell ref="H343:H345"/>
    <mergeCell ref="I343:L343"/>
    <mergeCell ref="B344:E344"/>
    <mergeCell ref="F344:G344"/>
    <mergeCell ref="I344:L344"/>
    <mergeCell ref="M344:N344"/>
    <mergeCell ref="B345:E345"/>
    <mergeCell ref="F345:G345"/>
    <mergeCell ref="I345:L345"/>
    <mergeCell ref="M345:N345"/>
  </mergeCells>
  <conditionalFormatting sqref="I17">
    <cfRule type="containsText" priority="2" operator="containsText" aboveAverage="0" equalAverage="0" bottom="0" percent="0" rank="0" text="N/A" dxfId="0">
      <formula>NOT(ISERROR(SEARCH("N/A",I17)))</formula>
    </cfRule>
    <cfRule type="cellIs" priority="3" operator="notBetween" aboveAverage="0" equalAverage="0" bottom="0" percent="0" rank="0" text="" dxfId="1">
      <formula>0</formula>
      <formula>2</formula>
    </cfRule>
  </conditionalFormatting>
  <conditionalFormatting sqref="C21">
    <cfRule type="containsText" priority="4" operator="containsText" aboveAverage="0" equalAverage="0" bottom="0" percent="0" rank="0" text="N/A" dxfId="0">
      <formula>NOT(ISERROR(SEARCH("N/A",C21)))</formula>
    </cfRule>
    <cfRule type="cellIs" priority="5" operator="notBetween" aboveAverage="0" equalAverage="0" bottom="0" percent="0" rank="0" text="" dxfId="1">
      <formula>0</formula>
      <formula>2</formula>
    </cfRule>
  </conditionalFormatting>
  <conditionalFormatting sqref="D21:I21">
    <cfRule type="containsText" priority="6" operator="containsText" aboveAverage="0" equalAverage="0" bottom="0" percent="0" rank="0" text="N/A" dxfId="0">
      <formula>NOT(ISERROR(SEARCH("N/A",D21)))</formula>
    </cfRule>
    <cfRule type="cellIs" priority="7" operator="notBetween" aboveAverage="0" equalAverage="0" bottom="0" percent="0" rank="0" text="" dxfId="1">
      <formula>0</formula>
      <formula>2</formula>
    </cfRule>
  </conditionalFormatting>
  <conditionalFormatting sqref="C24:I24">
    <cfRule type="containsText" priority="8" operator="containsText" aboveAverage="0" equalAverage="0" bottom="0" percent="0" rank="0" text="N/A" dxfId="0">
      <formula>NOT(ISERROR(SEARCH("N/A",C24)))</formula>
    </cfRule>
    <cfRule type="cellIs" priority="9" operator="notBetween" aboveAverage="0" equalAverage="0" bottom="0" percent="0" rank="0" text="" dxfId="1">
      <formula>0</formula>
      <formula>2</formula>
    </cfRule>
  </conditionalFormatting>
  <conditionalFormatting sqref="S56:AMJ56 A56:Q56 S138:AMJ138 A138:Q138 S302:AMJ302 A302:Q302 R221 R224">
    <cfRule type="cellIs" priority="10" operator="equal" aboveAverage="0" equalAverage="0" bottom="0" percent="0" rank="0" text="" dxfId="2">
      <formula>0.01</formula>
    </cfRule>
    <cfRule type="cellIs" priority="11" operator="equal" aboveAverage="0" equalAverage="0" bottom="0" percent="0" rank="0" text="" dxfId="3">
      <formula>0.1</formula>
    </cfRule>
  </conditionalFormatting>
  <printOptions headings="false" gridLines="false" gridLinesSet="true" horizontalCentered="true" verticalCentered="false"/>
  <pageMargins left="0.432638888888889" right="0.432638888888889" top="1" bottom="1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:E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01953125" defaultRowHeight="15" zeroHeight="false" outlineLevelRow="0" outlineLevelCol="0"/>
  <cols>
    <col collapsed="false" customWidth="true" hidden="false" outlineLevel="0" max="1" min="1" style="0" width="6.12"/>
    <col collapsed="false" customWidth="true" hidden="false" outlineLevel="0" max="2" min="2" style="0" width="85.64"/>
    <col collapsed="false" customWidth="true" hidden="false" outlineLevel="0" max="4" min="3" style="0" width="6.12"/>
    <col collapsed="false" customWidth="true" hidden="false" outlineLevel="0" max="5" min="5" style="0" width="19.88"/>
  </cols>
  <sheetData>
    <row r="1" customFormat="false" ht="45" hidden="false" customHeight="true" outlineLevel="0" collapsed="false">
      <c r="A1" s="67" t="s">
        <v>100</v>
      </c>
      <c r="B1" s="67"/>
      <c r="C1" s="67"/>
      <c r="D1" s="67"/>
      <c r="E1" s="67"/>
    </row>
    <row r="2" customFormat="false" ht="15" hidden="false" customHeight="true" outlineLevel="0" collapsed="false">
      <c r="A2" s="68" t="s">
        <v>101</v>
      </c>
      <c r="B2" s="68" t="s">
        <v>102</v>
      </c>
      <c r="C2" s="68" t="s">
        <v>103</v>
      </c>
      <c r="D2" s="68" t="s">
        <v>104</v>
      </c>
      <c r="E2" s="68" t="s">
        <v>105</v>
      </c>
    </row>
    <row r="3" customFormat="false" ht="15" hidden="false" customHeight="true" outlineLevel="0" collapsed="false">
      <c r="A3" s="68" t="n">
        <v>1</v>
      </c>
      <c r="B3" s="69" t="s">
        <v>106</v>
      </c>
      <c r="C3" s="69" t="s">
        <v>107</v>
      </c>
      <c r="D3" s="68" t="s">
        <v>108</v>
      </c>
      <c r="E3" s="70" t="n">
        <v>46119.4886458333</v>
      </c>
    </row>
    <row r="4" customFormat="false" ht="15" hidden="false" customHeight="true" outlineLevel="0" collapsed="false">
      <c r="A4" s="68" t="n">
        <v>2</v>
      </c>
      <c r="B4" s="69" t="s">
        <v>109</v>
      </c>
      <c r="C4" s="69" t="s">
        <v>107</v>
      </c>
      <c r="D4" s="68" t="s">
        <v>108</v>
      </c>
      <c r="E4" s="70" t="n">
        <v>46119.5279861111</v>
      </c>
    </row>
    <row r="5" customFormat="false" ht="15" hidden="false" customHeight="true" outlineLevel="0" collapsed="false">
      <c r="A5" s="68" t="n">
        <v>3</v>
      </c>
      <c r="B5" s="69" t="s">
        <v>110</v>
      </c>
      <c r="C5" s="69" t="s">
        <v>111</v>
      </c>
      <c r="D5" s="68" t="s">
        <v>108</v>
      </c>
      <c r="E5" s="70" t="n">
        <v>46119.567337963</v>
      </c>
    </row>
    <row r="6" customFormat="false" ht="15" hidden="false" customHeight="true" outlineLevel="0" collapsed="false">
      <c r="A6" s="68" t="n">
        <v>4</v>
      </c>
      <c r="B6" s="69" t="s">
        <v>112</v>
      </c>
      <c r="C6" s="69" t="s">
        <v>113</v>
      </c>
      <c r="D6" s="68" t="s">
        <v>108</v>
      </c>
      <c r="E6" s="70" t="n">
        <v>46119.6066782407</v>
      </c>
    </row>
    <row r="7" customFormat="false" ht="15" hidden="false" customHeight="true" outlineLevel="0" collapsed="false">
      <c r="A7" s="68" t="n">
        <v>5</v>
      </c>
      <c r="B7" s="69" t="s">
        <v>114</v>
      </c>
      <c r="C7" s="69" t="s">
        <v>115</v>
      </c>
      <c r="D7" s="68" t="s">
        <v>108</v>
      </c>
      <c r="E7" s="70" t="n">
        <v>46119.6460069445</v>
      </c>
    </row>
    <row r="8" customFormat="false" ht="15" hidden="false" customHeight="true" outlineLevel="0" collapsed="false">
      <c r="A8" s="68" t="n">
        <v>6</v>
      </c>
      <c r="B8" s="69" t="s">
        <v>116</v>
      </c>
      <c r="C8" s="69" t="s">
        <v>117</v>
      </c>
      <c r="D8" s="68" t="s">
        <v>108</v>
      </c>
      <c r="E8" s="70" t="n">
        <v>46119.6853472222</v>
      </c>
    </row>
    <row r="9" customFormat="false" ht="15" hidden="false" customHeight="true" outlineLevel="0" collapsed="false">
      <c r="A9" s="68" t="n">
        <v>7</v>
      </c>
      <c r="B9" s="69" t="s">
        <v>118</v>
      </c>
      <c r="C9" s="69" t="s">
        <v>117</v>
      </c>
      <c r="D9" s="68" t="s">
        <v>108</v>
      </c>
      <c r="E9" s="70" t="n">
        <v>46119.7246759259</v>
      </c>
    </row>
    <row r="10" customFormat="false" ht="15" hidden="false" customHeight="true" outlineLevel="0" collapsed="false">
      <c r="A10" s="68" t="n">
        <v>8</v>
      </c>
      <c r="B10" s="69" t="s">
        <v>119</v>
      </c>
      <c r="C10" s="69" t="s">
        <v>117</v>
      </c>
      <c r="D10" s="68" t="s">
        <v>108</v>
      </c>
      <c r="E10" s="70" t="n">
        <v>46119.7640162037</v>
      </c>
    </row>
    <row r="11" customFormat="false" ht="15" hidden="false" customHeight="true" outlineLevel="0" collapsed="false">
      <c r="A11" s="68" t="n">
        <v>9</v>
      </c>
      <c r="B11" s="69" t="s">
        <v>120</v>
      </c>
      <c r="C11" s="69" t="s">
        <v>117</v>
      </c>
      <c r="D11" s="68" t="s">
        <v>108</v>
      </c>
      <c r="E11" s="70" t="n">
        <v>46119.8033564815</v>
      </c>
    </row>
    <row r="12" customFormat="false" ht="15" hidden="false" customHeight="true" outlineLevel="0" collapsed="false">
      <c r="A12" s="68" t="n">
        <v>10</v>
      </c>
      <c r="B12" s="69" t="s">
        <v>121</v>
      </c>
      <c r="C12" s="69" t="s">
        <v>117</v>
      </c>
      <c r="D12" s="68" t="s">
        <v>108</v>
      </c>
      <c r="E12" s="70" t="n">
        <v>46119.8426851852</v>
      </c>
    </row>
    <row r="13" customFormat="false" ht="15" hidden="false" customHeight="true" outlineLevel="0" collapsed="false">
      <c r="A13" s="68" t="n">
        <v>11</v>
      </c>
      <c r="B13" s="69" t="s">
        <v>122</v>
      </c>
      <c r="C13" s="69" t="s">
        <v>117</v>
      </c>
      <c r="D13" s="68" t="s">
        <v>108</v>
      </c>
      <c r="E13" s="70" t="n">
        <v>46119.8820138889</v>
      </c>
    </row>
    <row r="14" customFormat="false" ht="15" hidden="false" customHeight="true" outlineLevel="0" collapsed="false">
      <c r="A14" s="68" t="n">
        <v>12</v>
      </c>
      <c r="B14" s="69" t="s">
        <v>123</v>
      </c>
      <c r="C14" s="69" t="s">
        <v>124</v>
      </c>
      <c r="D14" s="68" t="s">
        <v>108</v>
      </c>
      <c r="E14" s="70" t="n">
        <v>46119.9213425926</v>
      </c>
    </row>
    <row r="15" customFormat="false" ht="15" hidden="false" customHeight="true" outlineLevel="0" collapsed="false">
      <c r="A15" s="68" t="n">
        <v>13</v>
      </c>
      <c r="B15" s="69" t="s">
        <v>125</v>
      </c>
      <c r="C15" s="69" t="s">
        <v>126</v>
      </c>
      <c r="D15" s="68" t="s">
        <v>108</v>
      </c>
      <c r="E15" s="70" t="n">
        <v>46119.9606712963</v>
      </c>
    </row>
    <row r="16" customFormat="false" ht="15" hidden="false" customHeight="true" outlineLevel="0" collapsed="false">
      <c r="A16" s="68" t="n">
        <v>14</v>
      </c>
      <c r="B16" s="69" t="s">
        <v>127</v>
      </c>
      <c r="C16" s="69" t="s">
        <v>128</v>
      </c>
      <c r="D16" s="68" t="s">
        <v>108</v>
      </c>
      <c r="E16" s="70" t="n">
        <v>46120.0000115741</v>
      </c>
    </row>
    <row r="17" customFormat="false" ht="15" hidden="false" customHeight="true" outlineLevel="0" collapsed="false">
      <c r="A17" s="68" t="n">
        <v>15</v>
      </c>
      <c r="B17" s="69" t="s">
        <v>129</v>
      </c>
      <c r="C17" s="69" t="s">
        <v>130</v>
      </c>
      <c r="D17" s="68" t="s">
        <v>108</v>
      </c>
      <c r="E17" s="70" t="n">
        <v>46120.0393518519</v>
      </c>
    </row>
    <row r="18" customFormat="false" ht="15" hidden="false" customHeight="true" outlineLevel="0" collapsed="false">
      <c r="A18" s="68" t="n">
        <v>16</v>
      </c>
      <c r="B18" s="69" t="s">
        <v>131</v>
      </c>
      <c r="C18" s="69" t="s">
        <v>132</v>
      </c>
      <c r="D18" s="68" t="s">
        <v>108</v>
      </c>
      <c r="E18" s="70" t="n">
        <v>46120.0787037037</v>
      </c>
    </row>
    <row r="19" customFormat="false" ht="15" hidden="false" customHeight="true" outlineLevel="0" collapsed="false">
      <c r="A19" s="68" t="n">
        <v>17</v>
      </c>
      <c r="B19" s="69" t="s">
        <v>133</v>
      </c>
      <c r="C19" s="69" t="s">
        <v>134</v>
      </c>
      <c r="D19" s="68" t="s">
        <v>108</v>
      </c>
      <c r="E19" s="70" t="n">
        <v>46120.1180439815</v>
      </c>
    </row>
    <row r="20" customFormat="false" ht="15" hidden="false" customHeight="true" outlineLevel="0" collapsed="false">
      <c r="A20" s="68" t="n">
        <v>18</v>
      </c>
      <c r="B20" s="69" t="s">
        <v>135</v>
      </c>
      <c r="C20" s="69" t="s">
        <v>136</v>
      </c>
      <c r="D20" s="68" t="s">
        <v>108</v>
      </c>
      <c r="E20" s="70" t="n">
        <v>46120.1573842593</v>
      </c>
    </row>
    <row r="21" customFormat="false" ht="15" hidden="false" customHeight="true" outlineLevel="0" collapsed="false">
      <c r="A21" s="68" t="n">
        <v>19</v>
      </c>
      <c r="B21" s="69" t="s">
        <v>137</v>
      </c>
      <c r="C21" s="69" t="s">
        <v>138</v>
      </c>
      <c r="D21" s="68" t="s">
        <v>108</v>
      </c>
      <c r="E21" s="70" t="n">
        <v>46120.196712963</v>
      </c>
    </row>
    <row r="22" customFormat="false" ht="15" hidden="false" customHeight="true" outlineLevel="0" collapsed="false">
      <c r="A22" s="68" t="n">
        <v>20</v>
      </c>
      <c r="B22" s="69" t="s">
        <v>139</v>
      </c>
      <c r="C22" s="69" t="s">
        <v>140</v>
      </c>
      <c r="D22" s="68" t="s">
        <v>108</v>
      </c>
      <c r="E22" s="70" t="n">
        <v>46120.2360532408</v>
      </c>
    </row>
    <row r="23" customFormat="false" ht="15" hidden="false" customHeight="true" outlineLevel="0" collapsed="false">
      <c r="A23" s="68" t="n">
        <v>21</v>
      </c>
      <c r="B23" s="69" t="s">
        <v>141</v>
      </c>
      <c r="C23" s="69" t="s">
        <v>142</v>
      </c>
      <c r="D23" s="68" t="s">
        <v>108</v>
      </c>
      <c r="E23" s="70" t="n">
        <v>46120.2753819445</v>
      </c>
    </row>
    <row r="24" customFormat="false" ht="15" hidden="false" customHeight="true" outlineLevel="0" collapsed="false">
      <c r="A24" s="68" t="n">
        <v>22</v>
      </c>
      <c r="B24" s="69" t="s">
        <v>143</v>
      </c>
      <c r="C24" s="69" t="s">
        <v>117</v>
      </c>
      <c r="D24" s="68" t="s">
        <v>108</v>
      </c>
      <c r="E24" s="70" t="n">
        <v>46120.3147222222</v>
      </c>
    </row>
    <row r="25" customFormat="false" ht="15" hidden="false" customHeight="true" outlineLevel="0" collapsed="false">
      <c r="A25" s="68" t="n">
        <v>23</v>
      </c>
      <c r="B25" s="69" t="s">
        <v>144</v>
      </c>
      <c r="C25" s="69" t="s">
        <v>145</v>
      </c>
      <c r="D25" s="68" t="s">
        <v>108</v>
      </c>
      <c r="E25" s="70" t="n">
        <v>46120.3540625</v>
      </c>
    </row>
    <row r="26" customFormat="false" ht="15" hidden="false" customHeight="true" outlineLevel="0" collapsed="false">
      <c r="A26" s="68" t="n">
        <v>24</v>
      </c>
      <c r="B26" s="69" t="s">
        <v>146</v>
      </c>
      <c r="C26" s="69" t="s">
        <v>147</v>
      </c>
      <c r="D26" s="68" t="s">
        <v>108</v>
      </c>
      <c r="E26" s="70" t="n">
        <v>46120.3933912037</v>
      </c>
    </row>
    <row r="27" customFormat="false" ht="15" hidden="false" customHeight="true" outlineLevel="0" collapsed="false">
      <c r="A27" s="68" t="n">
        <v>25</v>
      </c>
      <c r="B27" s="69" t="s">
        <v>148</v>
      </c>
      <c r="C27" s="69" t="s">
        <v>149</v>
      </c>
      <c r="D27" s="68" t="s">
        <v>108</v>
      </c>
      <c r="E27" s="70" t="n">
        <v>46120.4327314815</v>
      </c>
    </row>
    <row r="28" customFormat="false" ht="15" hidden="false" customHeight="true" outlineLevel="0" collapsed="false">
      <c r="A28" s="68" t="n">
        <v>26</v>
      </c>
      <c r="B28" s="69" t="s">
        <v>150</v>
      </c>
      <c r="C28" s="69" t="s">
        <v>151</v>
      </c>
      <c r="D28" s="68" t="s">
        <v>108</v>
      </c>
      <c r="E28" s="70" t="n">
        <v>46120.4720717593</v>
      </c>
    </row>
    <row r="29" customFormat="false" ht="15" hidden="false" customHeight="true" outlineLevel="0" collapsed="false">
      <c r="A29" s="68" t="n">
        <v>27</v>
      </c>
      <c r="B29" s="69" t="s">
        <v>152</v>
      </c>
      <c r="C29" s="69" t="s">
        <v>153</v>
      </c>
      <c r="D29" s="68" t="s">
        <v>108</v>
      </c>
      <c r="E29" s="70" t="n">
        <v>46120.511412037</v>
      </c>
    </row>
    <row r="30" customFormat="false" ht="15" hidden="false" customHeight="true" outlineLevel="0" collapsed="false">
      <c r="A30" s="68" t="n">
        <v>28</v>
      </c>
      <c r="B30" s="69" t="s">
        <v>154</v>
      </c>
      <c r="C30" s="69" t="s">
        <v>155</v>
      </c>
      <c r="D30" s="68" t="s">
        <v>108</v>
      </c>
      <c r="E30" s="70" t="n">
        <v>46120.5507523148</v>
      </c>
    </row>
    <row r="31" customFormat="false" ht="15" hidden="false" customHeight="true" outlineLevel="0" collapsed="false">
      <c r="A31" s="68" t="n">
        <v>29</v>
      </c>
      <c r="B31" s="69" t="s">
        <v>156</v>
      </c>
      <c r="C31" s="69" t="s">
        <v>157</v>
      </c>
      <c r="D31" s="68" t="s">
        <v>108</v>
      </c>
      <c r="E31" s="70" t="n">
        <v>46120.5900810185</v>
      </c>
    </row>
    <row r="32" customFormat="false" ht="15" hidden="false" customHeight="true" outlineLevel="0" collapsed="false">
      <c r="A32" s="68" t="n">
        <v>30</v>
      </c>
      <c r="B32" s="69" t="s">
        <v>158</v>
      </c>
      <c r="C32" s="69" t="s">
        <v>159</v>
      </c>
      <c r="D32" s="68" t="s">
        <v>108</v>
      </c>
      <c r="E32" s="70" t="n">
        <v>46120.6294212963</v>
      </c>
    </row>
    <row r="33" customFormat="false" ht="15" hidden="false" customHeight="true" outlineLevel="0" collapsed="false">
      <c r="A33" s="68" t="n">
        <v>31</v>
      </c>
      <c r="B33" s="69" t="s">
        <v>160</v>
      </c>
      <c r="C33" s="69" t="s">
        <v>117</v>
      </c>
      <c r="D33" s="68" t="s">
        <v>108</v>
      </c>
      <c r="E33" s="70" t="n">
        <v>46120.6687731481</v>
      </c>
    </row>
    <row r="34" customFormat="false" ht="15" hidden="false" customHeight="true" outlineLevel="0" collapsed="false">
      <c r="A34" s="68" t="n">
        <v>32</v>
      </c>
      <c r="B34" s="69" t="s">
        <v>161</v>
      </c>
      <c r="C34" s="69" t="s">
        <v>107</v>
      </c>
      <c r="D34" s="68" t="s">
        <v>162</v>
      </c>
      <c r="E34" s="70" t="n">
        <v>46120.7070949074</v>
      </c>
    </row>
  </sheetData>
  <mergeCells count="1">
    <mergeCell ref="A1:E1"/>
  </mergeCells>
  <printOptions headings="false" gridLines="false" gridLinesSet="true" horizontalCentered="true" verticalCentered="false"/>
  <pageMargins left="0.432638888888889" right="0.432638888888889" top="0.472222222222222" bottom="0.393055555555556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2021-04-13T01:44:00Z</dcterms:created>
  <dc:creator>Gavin</dc:creator>
  <dc:description/>
  <dc:language>zh-CN</dc:language>
  <cp:lastModifiedBy/>
  <cp:lastPrinted>2021-06-28T02:55:00Z</cp:lastPrinted>
  <dcterms:modified xsi:type="dcterms:W3CDTF">2026-04-23T20:08:37Z</dcterms:modified>
  <cp:revision>10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2052-10.8.2.7072</vt:lpwstr>
  </property>
</Properties>
</file>